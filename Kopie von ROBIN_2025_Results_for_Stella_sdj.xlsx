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teinbeis2igmbh.sharepoint.com/sites/Projektabrechnungen/Shared Documents/General/ROBIN_720740/P2_2024-03-2025-08 ROBIN/"/>
    </mc:Choice>
  </mc:AlternateContent>
  <xr:revisionPtr revIDLastSave="49" documentId="8_{936B566D-DA7B-472C-9DF8-189E40F0ADA9}" xr6:coauthVersionLast="47" xr6:coauthVersionMax="47" xr10:uidLastSave="{2928432E-F434-4BC1-85B9-6A53C6E0001F}"/>
  <bookViews>
    <workbookView xWindow="-28920" yWindow="120" windowWidth="29040" windowHeight="15720" xr2:uid="{00000000-000D-0000-FFFF-FFFF00000000}"/>
  </bookViews>
  <sheets>
    <sheet name="Summary" sheetId="1" r:id="rId1"/>
    <sheet name="Work Package Details" sheetId="2" r:id="rId2"/>
    <sheet name="AACCamp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1" l="1"/>
  <c r="E22" i="1" s="1"/>
  <c r="E16" i="1"/>
  <c r="E18" i="1" s="1"/>
  <c r="G28" i="2"/>
</calcChain>
</file>

<file path=xl/sharedStrings.xml><?xml version="1.0" encoding="utf-8"?>
<sst xmlns="http://schemas.openxmlformats.org/spreadsheetml/2006/main" count="138" uniqueCount="57">
  <si>
    <t>Employee</t>
  </si>
  <si>
    <t>Hours Worked</t>
  </si>
  <si>
    <t>Total Cost (EUR)</t>
  </si>
  <si>
    <t>Avg Rate (EUR/h)</t>
  </si>
  <si>
    <t>Entity</t>
  </si>
  <si>
    <t>Clementine Roth</t>
  </si>
  <si>
    <t>Nadja Schlichenmaier</t>
  </si>
  <si>
    <t>Daniela Chiran</t>
  </si>
  <si>
    <t>Tea Sarenkapa</t>
  </si>
  <si>
    <t>Robert Gohla</t>
  </si>
  <si>
    <t>Miljana Cosic</t>
  </si>
  <si>
    <t>Jonathan Loeffler</t>
  </si>
  <si>
    <t>Astrid Alejandra Campos Cuellar</t>
  </si>
  <si>
    <t>Angela Heni</t>
  </si>
  <si>
    <t>Mercedes Berlin</t>
  </si>
  <si>
    <t>TOTAL</t>
  </si>
  <si>
    <t>Year</t>
  </si>
  <si>
    <t>Work Package ID</t>
  </si>
  <si>
    <t>Work Package</t>
  </si>
  <si>
    <t>Start Period</t>
  </si>
  <si>
    <t>End Period</t>
  </si>
  <si>
    <t>Hours</t>
  </si>
  <si>
    <t>Cost (EUR)</t>
  </si>
  <si>
    <t>Alejandra Campos</t>
  </si>
  <si>
    <t>WP3 Set up 2024</t>
  </si>
  <si>
    <t>01.07.2024</t>
  </si>
  <si>
    <t>30.06.2024</t>
  </si>
  <si>
    <t>WP4 Evaluation 2024</t>
  </si>
  <si>
    <t>WP6 Management 2024</t>
  </si>
  <si>
    <t>01.01.2024</t>
  </si>
  <si>
    <t>31.03.2024</t>
  </si>
  <si>
    <t>Clémentine Roth</t>
  </si>
  <si>
    <t>30.11.2024</t>
  </si>
  <si>
    <t>WP5 Diss, Expl, Comm 2024</t>
  </si>
  <si>
    <t>30.09.2024</t>
  </si>
  <si>
    <t>WP3 Set up 2025</t>
  </si>
  <si>
    <t>01.01.2025</t>
  </si>
  <si>
    <t>31.03.2025</t>
  </si>
  <si>
    <t>WP4 Evaluation 2025</t>
  </si>
  <si>
    <t>30.06.2025</t>
  </si>
  <si>
    <t>WP5 Diss, Expl, Comm 2025</t>
  </si>
  <si>
    <t>31.07.2025</t>
  </si>
  <si>
    <t>WP6 Management 2025</t>
  </si>
  <si>
    <t>01.02.2025</t>
  </si>
  <si>
    <t>01.03.2024</t>
  </si>
  <si>
    <t>28.02.2025</t>
  </si>
  <si>
    <t>31.10.2024</t>
  </si>
  <si>
    <t>31.01.2025</t>
  </si>
  <si>
    <t>31.08.2024</t>
  </si>
  <si>
    <t>Difference in project hours:</t>
  </si>
  <si>
    <t>Total TKS h from March '24 to Aug '25:</t>
  </si>
  <si>
    <t>Benjamin's result from Jan'24 to Aug '25:</t>
  </si>
  <si>
    <t>Total TKS h from Jan '24 to Aug '25:</t>
  </si>
  <si>
    <t>s.sheet AACCampos</t>
  </si>
  <si>
    <r>
      <t xml:space="preserve">A. Campos </t>
    </r>
    <r>
      <rPr>
        <sz val="11"/>
        <color theme="1"/>
        <rFont val="Calibri"/>
        <family val="2"/>
        <scheme val="minor"/>
      </rPr>
      <t xml:space="preserve">worked form July 2024 to August 2025 full time in Steinbeis 2i (from Jan to Jun '24 full time in SIG), that means 14 months in this reporting period in S2i, and that means the max. number of days is 251, which will be divided by her salary in that period and that will give her daily rate. </t>
    </r>
  </si>
  <si>
    <t>That daily rate will be mulitpied by the number of days in the project/pro WP and that will give her costs in this reporting period.</t>
  </si>
  <si>
    <t>Only A.A.C.Campos hat the same hours as in our calculation, all the others have differences, because you took the whole 2024 year (instead only from March), and in TKS when I took the whole year 2024, there is still a difference compared to your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</si>
</sst>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FF0000"/>
      <name val="Calibri"/>
      <family val="2"/>
      <scheme val="minor"/>
    </font>
    <font>
      <sz val="11"/>
      <color rgb="FF0070C0"/>
      <name val="Calibri"/>
      <family val="2"/>
      <scheme val="minor"/>
    </font>
    <font>
      <b/>
      <sz val="11"/>
      <color rgb="FF0070C0"/>
      <name val="Calibri"/>
      <family val="2"/>
      <scheme val="minor"/>
    </font>
    <font>
      <b/>
      <sz val="11"/>
      <color rgb="FFFF0000"/>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1" fillId="0" borderId="0" xfId="0" applyFont="1"/>
    <xf numFmtId="0" fontId="4" fillId="0" borderId="1" xfId="0" applyFont="1" applyBorder="1"/>
    <xf numFmtId="0" fontId="0" fillId="0" borderId="1" xfId="0" applyBorder="1"/>
    <xf numFmtId="0" fontId="3" fillId="0" borderId="1" xfId="0" applyFont="1" applyBorder="1"/>
    <xf numFmtId="0" fontId="2" fillId="0" borderId="0" xfId="0" applyFont="1"/>
    <xf numFmtId="0" fontId="5" fillId="0" borderId="0" xfId="0" applyFont="1"/>
    <xf numFmtId="0" fontId="0" fillId="2" borderId="0" xfId="0" applyFill="1"/>
    <xf numFmtId="0" fontId="0" fillId="0" borderId="0" xfId="0" applyAlignment="1">
      <alignment horizontal="left" vertical="top" wrapText="1"/>
    </xf>
    <xf numFmtId="0" fontId="1" fillId="0" borderId="0" xfId="0" applyFont="1" applyBorder="1"/>
    <xf numFmtId="0" fontId="0" fillId="0" borderId="0" xfId="0" applyBorder="1"/>
    <xf numFmtId="0" fontId="4" fillId="0" borderId="0" xfId="0" applyFont="1" applyBorder="1"/>
    <xf numFmtId="0" fontId="3" fillId="0" borderId="0" xfId="0" applyFont="1" applyBorder="1"/>
    <xf numFmtId="0" fontId="5" fillId="0" borderId="0" xfId="0" applyFont="1" applyBorder="1"/>
  </cellXfs>
  <cellStyles count="1">
    <cellStyle name="Standard" xfId="0" builtinId="0"/>
  </cellStyles>
  <dxfs count="2">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361950</xdr:colOff>
      <xdr:row>0</xdr:row>
      <xdr:rowOff>38100</xdr:rowOff>
    </xdr:from>
    <xdr:to>
      <xdr:col>17</xdr:col>
      <xdr:colOff>191465</xdr:colOff>
      <xdr:row>39</xdr:row>
      <xdr:rowOff>124986</xdr:rowOff>
    </xdr:to>
    <xdr:pic>
      <xdr:nvPicPr>
        <xdr:cNvPr id="2" name="Grafik 1">
          <a:extLst>
            <a:ext uri="{FF2B5EF4-FFF2-40B4-BE49-F238E27FC236}">
              <a16:creationId xmlns:a16="http://schemas.microsoft.com/office/drawing/2014/main" id="{E5EB7E0F-301B-7242-8CA3-9D90157F0FBE}"/>
            </a:ext>
          </a:extLst>
        </xdr:cNvPr>
        <xdr:cNvPicPr>
          <a:picLocks noChangeAspect="1"/>
        </xdr:cNvPicPr>
      </xdr:nvPicPr>
      <xdr:blipFill>
        <a:blip xmlns:r="http://schemas.openxmlformats.org/officeDocument/2006/relationships" r:embed="rId1"/>
        <a:stretch>
          <a:fillRect/>
        </a:stretch>
      </xdr:blipFill>
      <xdr:spPr>
        <a:xfrm>
          <a:off x="5038725" y="38100"/>
          <a:ext cx="6916115" cy="8316486"/>
        </a:xfrm>
        <a:prstGeom prst="rect">
          <a:avLst/>
        </a:prstGeom>
      </xdr:spPr>
    </xdr:pic>
    <xdr:clientData/>
  </xdr:twoCellAnchor>
  <xdr:twoCellAnchor editAs="oneCell">
    <xdr:from>
      <xdr:col>17</xdr:col>
      <xdr:colOff>219075</xdr:colOff>
      <xdr:row>0</xdr:row>
      <xdr:rowOff>47625</xdr:rowOff>
    </xdr:from>
    <xdr:to>
      <xdr:col>29</xdr:col>
      <xdr:colOff>29538</xdr:colOff>
      <xdr:row>18</xdr:row>
      <xdr:rowOff>153005</xdr:rowOff>
    </xdr:to>
    <xdr:pic>
      <xdr:nvPicPr>
        <xdr:cNvPr id="3" name="Grafik 2">
          <a:extLst>
            <a:ext uri="{FF2B5EF4-FFF2-40B4-BE49-F238E27FC236}">
              <a16:creationId xmlns:a16="http://schemas.microsoft.com/office/drawing/2014/main" id="{75A0F372-7C1B-A1E1-F337-4E67DADA4567}"/>
            </a:ext>
          </a:extLst>
        </xdr:cNvPr>
        <xdr:cNvPicPr>
          <a:picLocks noChangeAspect="1"/>
        </xdr:cNvPicPr>
      </xdr:nvPicPr>
      <xdr:blipFill>
        <a:blip xmlns:r="http://schemas.openxmlformats.org/officeDocument/2006/relationships" r:embed="rId2"/>
        <a:stretch>
          <a:fillRect/>
        </a:stretch>
      </xdr:blipFill>
      <xdr:spPr>
        <a:xfrm>
          <a:off x="11982450" y="47625"/>
          <a:ext cx="6897063" cy="4334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23</xdr:col>
      <xdr:colOff>40551</xdr:colOff>
      <xdr:row>8</xdr:row>
      <xdr:rowOff>76344</xdr:rowOff>
    </xdr:to>
    <xdr:pic>
      <xdr:nvPicPr>
        <xdr:cNvPr id="2" name="Grafik 1">
          <a:extLst>
            <a:ext uri="{FF2B5EF4-FFF2-40B4-BE49-F238E27FC236}">
              <a16:creationId xmlns:a16="http://schemas.microsoft.com/office/drawing/2014/main" id="{75B02DC5-8053-29C3-65E5-4DBBBC5C10DC}"/>
            </a:ext>
          </a:extLst>
        </xdr:cNvPr>
        <xdr:cNvPicPr>
          <a:picLocks noChangeAspect="1"/>
        </xdr:cNvPicPr>
      </xdr:nvPicPr>
      <xdr:blipFill>
        <a:blip xmlns:r="http://schemas.openxmlformats.org/officeDocument/2006/relationships" r:embed="rId1"/>
        <a:stretch>
          <a:fillRect/>
        </a:stretch>
      </xdr:blipFill>
      <xdr:spPr>
        <a:xfrm>
          <a:off x="0" y="571500"/>
          <a:ext cx="17566551" cy="102884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ADD584-9DDB-4E50-A95C-631CF57BA097}" name="Tableau2" displayName="Tableau2" ref="A1:E12" totalsRowShown="0" headerRowDxfId="1">
  <autoFilter ref="A1:E12" xr:uid="{95ADD584-9DDB-4E50-A95C-631CF57BA097}"/>
  <tableColumns count="5">
    <tableColumn id="1" xr3:uid="{EAB131EB-E405-4589-9ED9-E02BE41D0982}" name="Employee"/>
    <tableColumn id="2" xr3:uid="{D6676FEE-AF84-4D97-B757-0FADBBC4FE46}" name="Hours Worked"/>
    <tableColumn id="3" xr3:uid="{BB55B676-AB37-458C-9713-F02C3C7CC729}" name="Total Cost (EUR)"/>
    <tableColumn id="4" xr3:uid="{E528409F-B77C-43EA-B4D8-599AFF848904}" name="Avg Rate (EUR/h)"/>
    <tableColumn id="5" xr3:uid="{BD76D3C4-7D8A-4C66-BAA0-B64AF7CC03BB}" name="Entit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37D0C0-EA71-4638-AD75-7DE5C296E176}" name="Tableau1" displayName="Tableau1" ref="A1:H28" totalsRowCount="1" headerRowDxfId="0">
  <autoFilter ref="A1:H27" xr:uid="{3D37D0C0-EA71-4638-AD75-7DE5C296E176}"/>
  <sortState xmlns:xlrd2="http://schemas.microsoft.com/office/spreadsheetml/2017/richdata2" ref="A2:H27">
    <sortCondition ref="B1:B27"/>
  </sortState>
  <tableColumns count="8">
    <tableColumn id="1" xr3:uid="{C0D8D8C9-061C-4683-ACDB-DA16F0C39A64}" name="Employee"/>
    <tableColumn id="2" xr3:uid="{A00B4CB3-2A57-4A55-B787-30B6075D6699}" name="Year"/>
    <tableColumn id="3" xr3:uid="{F4DE8403-3E76-4AE0-900E-8C9AA67EC1D1}" name="Work Package ID"/>
    <tableColumn id="4" xr3:uid="{4200162C-4020-4C62-88E2-A21FF45A4AD7}" name="Work Package"/>
    <tableColumn id="5" xr3:uid="{F13E902A-F810-4A74-956F-750D382E33C1}" name="Start Period"/>
    <tableColumn id="6" xr3:uid="{F7FDE3C8-AA52-4073-B600-DB4ED4C2A4AE}" name="End Period"/>
    <tableColumn id="7" xr3:uid="{78A054C1-B6BF-432A-979D-C94F06965B7B}" name="Hours" totalsRowFunction="sum"/>
    <tableColumn id="8" xr3:uid="{67F1DE74-52BE-45CE-A1F6-36A54D58590B}" name="Cost (EU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8"/>
  <sheetViews>
    <sheetView tabSelected="1" topLeftCell="A7" workbookViewId="0">
      <selection activeCell="C26" sqref="C26"/>
    </sheetView>
  </sheetViews>
  <sheetFormatPr baseColWidth="10" defaultColWidth="8.85546875" defaultRowHeight="15" x14ac:dyDescent="0.25"/>
  <cols>
    <col min="1" max="1" width="12.42578125" customWidth="1"/>
    <col min="2" max="2" width="14.85546875" customWidth="1"/>
    <col min="3" max="3" width="16.42578125" customWidth="1"/>
    <col min="4" max="4" width="17.5703125" customWidth="1"/>
  </cols>
  <sheetData>
    <row r="1" spans="1:10" s="1" customFormat="1" x14ac:dyDescent="0.25">
      <c r="A1" s="1" t="s">
        <v>0</v>
      </c>
      <c r="B1" s="1" t="s">
        <v>1</v>
      </c>
      <c r="C1" s="1" t="s">
        <v>2</v>
      </c>
      <c r="D1" s="1" t="s">
        <v>3</v>
      </c>
      <c r="E1" s="1" t="s">
        <v>4</v>
      </c>
    </row>
    <row r="2" spans="1:10" x14ac:dyDescent="0.25">
      <c r="A2" t="s">
        <v>5</v>
      </c>
      <c r="B2">
        <v>827.77</v>
      </c>
      <c r="C2">
        <v>39422.160000000003</v>
      </c>
      <c r="D2">
        <v>47.62</v>
      </c>
      <c r="E2">
        <v>2017</v>
      </c>
    </row>
    <row r="3" spans="1:10" x14ac:dyDescent="0.25">
      <c r="A3" t="s">
        <v>6</v>
      </c>
      <c r="B3">
        <v>678.88</v>
      </c>
      <c r="C3">
        <v>27609.87</v>
      </c>
      <c r="D3">
        <v>40.67</v>
      </c>
      <c r="E3">
        <v>2017</v>
      </c>
    </row>
    <row r="4" spans="1:10" x14ac:dyDescent="0.25">
      <c r="A4" t="s">
        <v>7</v>
      </c>
      <c r="B4">
        <v>451.73</v>
      </c>
      <c r="C4">
        <v>22016.15</v>
      </c>
      <c r="D4">
        <v>48.74</v>
      </c>
      <c r="E4">
        <v>2017</v>
      </c>
    </row>
    <row r="5" spans="1:10" x14ac:dyDescent="0.25">
      <c r="A5" t="s">
        <v>8</v>
      </c>
      <c r="B5">
        <v>451.3</v>
      </c>
      <c r="C5">
        <v>14622.41</v>
      </c>
      <c r="D5">
        <v>32.4</v>
      </c>
      <c r="E5">
        <v>2017</v>
      </c>
    </row>
    <row r="6" spans="1:10" x14ac:dyDescent="0.25">
      <c r="A6" t="s">
        <v>9</v>
      </c>
      <c r="B6">
        <v>162.85</v>
      </c>
      <c r="C6">
        <v>13009.94</v>
      </c>
      <c r="D6">
        <v>79.89</v>
      </c>
      <c r="E6">
        <v>2017</v>
      </c>
    </row>
    <row r="7" spans="1:10" x14ac:dyDescent="0.25">
      <c r="A7" t="s">
        <v>10</v>
      </c>
      <c r="B7">
        <v>184.22</v>
      </c>
      <c r="C7">
        <v>10421.129999999999</v>
      </c>
      <c r="D7">
        <v>56.57</v>
      </c>
      <c r="E7">
        <v>2017</v>
      </c>
    </row>
    <row r="8" spans="1:10" x14ac:dyDescent="0.25">
      <c r="A8" t="s">
        <v>11</v>
      </c>
      <c r="B8">
        <v>54.21</v>
      </c>
      <c r="C8">
        <v>6912.42</v>
      </c>
      <c r="D8">
        <v>127.52</v>
      </c>
      <c r="E8">
        <v>2017</v>
      </c>
    </row>
    <row r="9" spans="1:10" x14ac:dyDescent="0.25">
      <c r="A9" s="8" t="s">
        <v>12</v>
      </c>
      <c r="B9" s="8">
        <v>130</v>
      </c>
      <c r="C9" s="8">
        <v>5174.72</v>
      </c>
      <c r="D9" s="8">
        <v>39.81</v>
      </c>
      <c r="E9" s="8">
        <v>2017</v>
      </c>
    </row>
    <row r="10" spans="1:10" x14ac:dyDescent="0.25">
      <c r="A10" t="s">
        <v>13</v>
      </c>
      <c r="B10">
        <v>73.040000000000006</v>
      </c>
      <c r="C10">
        <v>4349.17</v>
      </c>
      <c r="D10">
        <v>59.54</v>
      </c>
      <c r="E10">
        <v>2017</v>
      </c>
    </row>
    <row r="11" spans="1:10" x14ac:dyDescent="0.25">
      <c r="A11" t="s">
        <v>14</v>
      </c>
      <c r="B11">
        <v>82.09</v>
      </c>
      <c r="C11">
        <v>4259.3999999999996</v>
      </c>
      <c r="D11">
        <v>51.89</v>
      </c>
      <c r="E11">
        <v>2017</v>
      </c>
    </row>
    <row r="12" spans="1:10" x14ac:dyDescent="0.25">
      <c r="A12" t="s">
        <v>15</v>
      </c>
      <c r="B12">
        <v>3096.09</v>
      </c>
      <c r="C12">
        <v>147797.37</v>
      </c>
      <c r="D12">
        <v>47.736780907531752</v>
      </c>
    </row>
    <row r="14" spans="1:10" x14ac:dyDescent="0.25">
      <c r="A14" s="8" t="s">
        <v>53</v>
      </c>
      <c r="B14" s="8"/>
    </row>
    <row r="15" spans="1:10" ht="78" customHeight="1" x14ac:dyDescent="0.25">
      <c r="A15" s="9" t="s">
        <v>56</v>
      </c>
      <c r="B15" s="9"/>
      <c r="C15" s="9"/>
      <c r="D15" s="9"/>
      <c r="E15" s="9"/>
    </row>
    <row r="16" spans="1:10" x14ac:dyDescent="0.25">
      <c r="A16" s="2" t="s">
        <v>50</v>
      </c>
      <c r="B16" s="2"/>
      <c r="C16" s="2"/>
      <c r="D16" s="2"/>
      <c r="E16">
        <f>2375-175.5-30-19-2-23-2-90-15-10+762.5</f>
        <v>2771</v>
      </c>
      <c r="G16" s="2"/>
      <c r="H16" s="2"/>
      <c r="I16" s="2"/>
      <c r="J16" s="2"/>
    </row>
    <row r="17" spans="1:11" x14ac:dyDescent="0.25">
      <c r="A17" s="3" t="s">
        <v>51</v>
      </c>
      <c r="B17" s="3"/>
      <c r="C17" s="4"/>
      <c r="D17" s="4"/>
      <c r="E17" s="5">
        <v>3096.09</v>
      </c>
      <c r="G17" s="3"/>
      <c r="H17" s="3"/>
      <c r="I17" s="4"/>
      <c r="J17" s="4"/>
      <c r="K17" s="5"/>
    </row>
    <row r="18" spans="1:11" x14ac:dyDescent="0.25">
      <c r="A18" s="7" t="s">
        <v>49</v>
      </c>
      <c r="E18" s="7">
        <f>E16-E17</f>
        <v>-325.09000000000015</v>
      </c>
      <c r="G18" s="7"/>
      <c r="K18" s="7"/>
    </row>
    <row r="20" spans="1:11" x14ac:dyDescent="0.25">
      <c r="A20" s="2" t="s">
        <v>52</v>
      </c>
      <c r="B20" s="2"/>
      <c r="C20" s="2"/>
      <c r="D20" s="2"/>
      <c r="E20">
        <f>2375+762.5</f>
        <v>3137.5</v>
      </c>
    </row>
    <row r="21" spans="1:11" x14ac:dyDescent="0.25">
      <c r="A21" s="3" t="s">
        <v>51</v>
      </c>
      <c r="B21" s="3"/>
      <c r="C21" s="4"/>
      <c r="D21" s="4"/>
      <c r="E21" s="5">
        <v>3096.09</v>
      </c>
    </row>
    <row r="22" spans="1:11" x14ac:dyDescent="0.25">
      <c r="A22" s="7" t="s">
        <v>49</v>
      </c>
      <c r="E22" s="7">
        <f>E20-E21</f>
        <v>41.409999999999854</v>
      </c>
    </row>
    <row r="45" spans="7:17" x14ac:dyDescent="0.25">
      <c r="G45" s="10"/>
      <c r="H45" s="10"/>
      <c r="I45" s="10"/>
      <c r="J45" s="10"/>
      <c r="K45" s="11"/>
      <c r="L45" s="11"/>
      <c r="M45" s="10"/>
      <c r="N45" s="10"/>
      <c r="O45" s="10"/>
      <c r="P45" s="10"/>
      <c r="Q45" s="11"/>
    </row>
    <row r="46" spans="7:17" x14ac:dyDescent="0.25">
      <c r="G46" s="12"/>
      <c r="H46" s="12"/>
      <c r="I46" s="11"/>
      <c r="J46" s="11"/>
      <c r="K46" s="13"/>
      <c r="L46" s="11"/>
      <c r="M46" s="12"/>
      <c r="N46" s="12"/>
      <c r="O46" s="11"/>
      <c r="P46" s="11"/>
      <c r="Q46" s="13"/>
    </row>
    <row r="47" spans="7:17" x14ac:dyDescent="0.25">
      <c r="G47" s="14"/>
      <c r="H47" s="11"/>
      <c r="I47" s="11"/>
      <c r="J47" s="11"/>
      <c r="K47" s="14"/>
      <c r="L47" s="11"/>
      <c r="M47" s="14"/>
      <c r="N47" s="11"/>
      <c r="O47" s="11"/>
      <c r="P47" s="11"/>
      <c r="Q47" s="14"/>
    </row>
    <row r="48" spans="7:17" x14ac:dyDescent="0.25">
      <c r="G48" s="11"/>
      <c r="H48" s="11"/>
      <c r="I48" s="11"/>
      <c r="J48" s="11"/>
      <c r="K48" s="11"/>
      <c r="L48" s="11"/>
      <c r="M48" s="11"/>
      <c r="N48" s="11"/>
      <c r="O48" s="11"/>
      <c r="P48" s="11"/>
      <c r="Q48" s="11"/>
    </row>
  </sheetData>
  <mergeCells count="1">
    <mergeCell ref="A15:E15"/>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workbookViewId="0">
      <selection activeCell="M9" sqref="M9"/>
    </sheetView>
  </sheetViews>
  <sheetFormatPr baseColWidth="10" defaultColWidth="8.85546875" defaultRowHeight="15" x14ac:dyDescent="0.25"/>
  <cols>
    <col min="1" max="1" width="18.5703125" bestFit="1" customWidth="1"/>
    <col min="3" max="3" width="17.140625" customWidth="1"/>
    <col min="4" max="4" width="23.5703125" bestFit="1" customWidth="1"/>
    <col min="5" max="5" width="15.28515625" bestFit="1" customWidth="1"/>
    <col min="6" max="6" width="12" customWidth="1"/>
    <col min="8" max="8" width="11.7109375" customWidth="1"/>
  </cols>
  <sheetData>
    <row r="1" spans="1:8" s="1" customFormat="1" x14ac:dyDescent="0.25">
      <c r="A1" s="1" t="s">
        <v>0</v>
      </c>
      <c r="B1" s="1" t="s">
        <v>16</v>
      </c>
      <c r="C1" s="1" t="s">
        <v>17</v>
      </c>
      <c r="D1" s="1" t="s">
        <v>18</v>
      </c>
      <c r="E1" s="1" t="s">
        <v>19</v>
      </c>
      <c r="F1" s="1" t="s">
        <v>20</v>
      </c>
      <c r="G1" s="1" t="s">
        <v>21</v>
      </c>
      <c r="H1" s="1" t="s">
        <v>22</v>
      </c>
    </row>
    <row r="2" spans="1:8" x14ac:dyDescent="0.25">
      <c r="A2" t="s">
        <v>23</v>
      </c>
      <c r="B2">
        <v>2024</v>
      </c>
      <c r="C2">
        <v>4567</v>
      </c>
      <c r="D2" t="s">
        <v>24</v>
      </c>
      <c r="E2" t="s">
        <v>25</v>
      </c>
      <c r="F2" t="s">
        <v>26</v>
      </c>
      <c r="G2">
        <v>78.12</v>
      </c>
      <c r="H2">
        <v>3109.81</v>
      </c>
    </row>
    <row r="3" spans="1:8" x14ac:dyDescent="0.25">
      <c r="A3" t="s">
        <v>23</v>
      </c>
      <c r="B3">
        <v>2024</v>
      </c>
      <c r="C3">
        <v>4568</v>
      </c>
      <c r="D3" t="s">
        <v>27</v>
      </c>
      <c r="E3" t="s">
        <v>25</v>
      </c>
      <c r="F3" t="s">
        <v>26</v>
      </c>
      <c r="G3">
        <v>51.88</v>
      </c>
      <c r="H3">
        <v>2064.91</v>
      </c>
    </row>
    <row r="4" spans="1:8" x14ac:dyDescent="0.25">
      <c r="A4" t="s">
        <v>13</v>
      </c>
      <c r="B4">
        <v>2024</v>
      </c>
      <c r="C4">
        <v>4570</v>
      </c>
      <c r="D4" t="s">
        <v>28</v>
      </c>
      <c r="E4" s="6" t="s">
        <v>29</v>
      </c>
      <c r="F4" t="s">
        <v>30</v>
      </c>
      <c r="G4">
        <v>73.040000000000006</v>
      </c>
      <c r="H4">
        <v>4349.17</v>
      </c>
    </row>
    <row r="5" spans="1:8" x14ac:dyDescent="0.25">
      <c r="A5" t="s">
        <v>31</v>
      </c>
      <c r="B5">
        <v>2024</v>
      </c>
      <c r="C5">
        <v>4567</v>
      </c>
      <c r="D5" t="s">
        <v>24</v>
      </c>
      <c r="E5" s="6" t="s">
        <v>29</v>
      </c>
      <c r="F5" t="s">
        <v>32</v>
      </c>
      <c r="G5">
        <v>247.92</v>
      </c>
      <c r="H5">
        <v>12030</v>
      </c>
    </row>
    <row r="6" spans="1:8" x14ac:dyDescent="0.25">
      <c r="A6" t="s">
        <v>31</v>
      </c>
      <c r="B6">
        <v>2024</v>
      </c>
      <c r="C6">
        <v>4568</v>
      </c>
      <c r="D6" t="s">
        <v>27</v>
      </c>
      <c r="E6" s="6" t="s">
        <v>29</v>
      </c>
      <c r="F6" t="s">
        <v>32</v>
      </c>
      <c r="G6">
        <v>92.03</v>
      </c>
      <c r="H6">
        <v>4635.2299999999996</v>
      </c>
    </row>
    <row r="7" spans="1:8" x14ac:dyDescent="0.25">
      <c r="A7" t="s">
        <v>31</v>
      </c>
      <c r="B7">
        <v>2024</v>
      </c>
      <c r="C7">
        <v>4569</v>
      </c>
      <c r="D7" t="s">
        <v>33</v>
      </c>
      <c r="E7" s="6" t="s">
        <v>29</v>
      </c>
      <c r="F7" t="s">
        <v>32</v>
      </c>
      <c r="G7">
        <v>180.6</v>
      </c>
      <c r="H7">
        <v>8669.57</v>
      </c>
    </row>
    <row r="8" spans="1:8" x14ac:dyDescent="0.25">
      <c r="A8" t="s">
        <v>31</v>
      </c>
      <c r="B8">
        <v>2024</v>
      </c>
      <c r="C8">
        <v>4570</v>
      </c>
      <c r="D8" t="s">
        <v>28</v>
      </c>
      <c r="E8" s="6" t="s">
        <v>29</v>
      </c>
      <c r="F8" t="s">
        <v>34</v>
      </c>
      <c r="G8">
        <v>12.67</v>
      </c>
      <c r="H8">
        <v>523.04999999999995</v>
      </c>
    </row>
    <row r="9" spans="1:8" x14ac:dyDescent="0.25">
      <c r="A9" t="s">
        <v>7</v>
      </c>
      <c r="B9">
        <v>2024</v>
      </c>
      <c r="C9">
        <v>4567</v>
      </c>
      <c r="D9" t="s">
        <v>24</v>
      </c>
      <c r="E9" s="6" t="s">
        <v>29</v>
      </c>
      <c r="F9" t="s">
        <v>30</v>
      </c>
      <c r="G9">
        <v>330</v>
      </c>
      <c r="H9">
        <v>16071.24</v>
      </c>
    </row>
    <row r="10" spans="1:8" x14ac:dyDescent="0.25">
      <c r="A10" t="s">
        <v>11</v>
      </c>
      <c r="B10">
        <v>2024</v>
      </c>
      <c r="C10">
        <v>4567</v>
      </c>
      <c r="D10" t="s">
        <v>24</v>
      </c>
      <c r="E10" t="s">
        <v>44</v>
      </c>
      <c r="F10" t="s">
        <v>32</v>
      </c>
      <c r="G10">
        <v>54.21</v>
      </c>
      <c r="H10">
        <v>6912.42</v>
      </c>
    </row>
    <row r="11" spans="1:8" x14ac:dyDescent="0.25">
      <c r="A11" t="s">
        <v>10</v>
      </c>
      <c r="B11">
        <v>2024</v>
      </c>
      <c r="C11">
        <v>4567</v>
      </c>
      <c r="D11" t="s">
        <v>24</v>
      </c>
      <c r="E11" t="s">
        <v>44</v>
      </c>
      <c r="F11" t="s">
        <v>30</v>
      </c>
      <c r="G11">
        <v>119.58</v>
      </c>
      <c r="H11">
        <v>7264.65</v>
      </c>
    </row>
    <row r="12" spans="1:8" x14ac:dyDescent="0.25">
      <c r="A12" t="s">
        <v>6</v>
      </c>
      <c r="B12">
        <v>2024</v>
      </c>
      <c r="C12">
        <v>4567</v>
      </c>
      <c r="D12" t="s">
        <v>24</v>
      </c>
      <c r="E12" s="6" t="s">
        <v>29</v>
      </c>
      <c r="F12" t="s">
        <v>32</v>
      </c>
      <c r="G12">
        <v>377.21</v>
      </c>
      <c r="H12">
        <v>15030.72</v>
      </c>
    </row>
    <row r="13" spans="1:8" x14ac:dyDescent="0.25">
      <c r="A13" t="s">
        <v>6</v>
      </c>
      <c r="B13">
        <v>2024</v>
      </c>
      <c r="C13">
        <v>4568</v>
      </c>
      <c r="D13" t="s">
        <v>27</v>
      </c>
      <c r="E13" s="6" t="s">
        <v>29</v>
      </c>
      <c r="F13" t="s">
        <v>32</v>
      </c>
      <c r="G13">
        <v>186.96</v>
      </c>
      <c r="H13">
        <v>7821.1</v>
      </c>
    </row>
    <row r="14" spans="1:8" x14ac:dyDescent="0.25">
      <c r="A14" t="s">
        <v>6</v>
      </c>
      <c r="B14">
        <v>2024</v>
      </c>
      <c r="C14">
        <v>4569</v>
      </c>
      <c r="D14" t="s">
        <v>33</v>
      </c>
      <c r="E14" s="6" t="s">
        <v>29</v>
      </c>
      <c r="F14" t="s">
        <v>46</v>
      </c>
      <c r="G14">
        <v>114.71</v>
      </c>
      <c r="H14">
        <v>4758.05</v>
      </c>
    </row>
    <row r="15" spans="1:8" x14ac:dyDescent="0.25">
      <c r="A15" t="s">
        <v>9</v>
      </c>
      <c r="B15">
        <v>2024</v>
      </c>
      <c r="C15">
        <v>4568</v>
      </c>
      <c r="D15" t="s">
        <v>27</v>
      </c>
      <c r="E15" t="s">
        <v>25</v>
      </c>
      <c r="F15" t="s">
        <v>34</v>
      </c>
      <c r="G15">
        <v>49.48</v>
      </c>
      <c r="H15">
        <v>3852.66</v>
      </c>
    </row>
    <row r="16" spans="1:8" x14ac:dyDescent="0.25">
      <c r="A16" t="s">
        <v>8</v>
      </c>
      <c r="B16">
        <v>2024</v>
      </c>
      <c r="C16">
        <v>4567</v>
      </c>
      <c r="D16" t="s">
        <v>24</v>
      </c>
      <c r="E16" t="s">
        <v>44</v>
      </c>
      <c r="F16" t="s">
        <v>48</v>
      </c>
      <c r="G16">
        <v>111.4</v>
      </c>
      <c r="H16">
        <v>3656.21</v>
      </c>
    </row>
    <row r="17" spans="1:8" x14ac:dyDescent="0.25">
      <c r="A17" t="s">
        <v>8</v>
      </c>
      <c r="B17">
        <v>2024</v>
      </c>
      <c r="C17">
        <v>4568</v>
      </c>
      <c r="D17" t="s">
        <v>27</v>
      </c>
      <c r="E17" t="s">
        <v>44</v>
      </c>
      <c r="F17" t="s">
        <v>48</v>
      </c>
      <c r="G17">
        <v>221.9</v>
      </c>
      <c r="H17">
        <v>7127.05</v>
      </c>
    </row>
    <row r="18" spans="1:8" x14ac:dyDescent="0.25">
      <c r="A18" t="s">
        <v>8</v>
      </c>
      <c r="B18">
        <v>2024</v>
      </c>
      <c r="C18">
        <v>4569</v>
      </c>
      <c r="D18" t="s">
        <v>33</v>
      </c>
      <c r="E18" t="s">
        <v>44</v>
      </c>
      <c r="F18" t="s">
        <v>48</v>
      </c>
      <c r="G18">
        <v>118</v>
      </c>
      <c r="H18">
        <v>3839.15</v>
      </c>
    </row>
    <row r="19" spans="1:8" x14ac:dyDescent="0.25">
      <c r="A19" t="s">
        <v>31</v>
      </c>
      <c r="B19">
        <v>2025</v>
      </c>
      <c r="C19">
        <v>4811</v>
      </c>
      <c r="D19" t="s">
        <v>35</v>
      </c>
      <c r="E19" t="s">
        <v>36</v>
      </c>
      <c r="F19" t="s">
        <v>37</v>
      </c>
      <c r="G19">
        <v>102.72</v>
      </c>
      <c r="H19">
        <v>4406.1099999999997</v>
      </c>
    </row>
    <row r="20" spans="1:8" x14ac:dyDescent="0.25">
      <c r="A20" t="s">
        <v>31</v>
      </c>
      <c r="B20">
        <v>2025</v>
      </c>
      <c r="C20">
        <v>4812</v>
      </c>
      <c r="D20" t="s">
        <v>38</v>
      </c>
      <c r="E20" t="s">
        <v>36</v>
      </c>
      <c r="F20" t="s">
        <v>39</v>
      </c>
      <c r="G20">
        <v>107.33</v>
      </c>
      <c r="H20">
        <v>4771.3900000000003</v>
      </c>
    </row>
    <row r="21" spans="1:8" x14ac:dyDescent="0.25">
      <c r="A21" t="s">
        <v>31</v>
      </c>
      <c r="B21">
        <v>2025</v>
      </c>
      <c r="C21">
        <v>4813</v>
      </c>
      <c r="D21" t="s">
        <v>40</v>
      </c>
      <c r="E21" t="s">
        <v>36</v>
      </c>
      <c r="F21" t="s">
        <v>41</v>
      </c>
      <c r="G21">
        <v>59.92</v>
      </c>
      <c r="H21">
        <v>3167.87</v>
      </c>
    </row>
    <row r="22" spans="1:8" x14ac:dyDescent="0.25">
      <c r="A22" t="s">
        <v>31</v>
      </c>
      <c r="B22">
        <v>2025</v>
      </c>
      <c r="C22">
        <v>4814</v>
      </c>
      <c r="D22" t="s">
        <v>42</v>
      </c>
      <c r="E22" t="s">
        <v>43</v>
      </c>
      <c r="F22" t="s">
        <v>41</v>
      </c>
      <c r="G22">
        <v>24.58</v>
      </c>
      <c r="H22">
        <v>1218.95</v>
      </c>
    </row>
    <row r="23" spans="1:8" x14ac:dyDescent="0.25">
      <c r="A23" t="s">
        <v>7</v>
      </c>
      <c r="B23">
        <v>2025</v>
      </c>
      <c r="C23">
        <v>4812</v>
      </c>
      <c r="D23" t="s">
        <v>38</v>
      </c>
      <c r="E23" t="s">
        <v>36</v>
      </c>
      <c r="F23" t="s">
        <v>39</v>
      </c>
      <c r="G23">
        <v>42.67</v>
      </c>
      <c r="H23">
        <v>2036.14</v>
      </c>
    </row>
    <row r="24" spans="1:8" x14ac:dyDescent="0.25">
      <c r="A24" t="s">
        <v>7</v>
      </c>
      <c r="B24">
        <v>2025</v>
      </c>
      <c r="C24">
        <v>4813</v>
      </c>
      <c r="D24" t="s">
        <v>40</v>
      </c>
      <c r="E24" t="s">
        <v>36</v>
      </c>
      <c r="F24" t="s">
        <v>39</v>
      </c>
      <c r="G24">
        <v>79.069999999999993</v>
      </c>
      <c r="H24">
        <v>3908.78</v>
      </c>
    </row>
    <row r="25" spans="1:8" x14ac:dyDescent="0.25">
      <c r="A25" t="s">
        <v>14</v>
      </c>
      <c r="B25">
        <v>2025</v>
      </c>
      <c r="C25">
        <v>4812</v>
      </c>
      <c r="D25" t="s">
        <v>38</v>
      </c>
      <c r="E25" t="s">
        <v>36</v>
      </c>
      <c r="F25" t="s">
        <v>39</v>
      </c>
      <c r="G25">
        <v>82.09</v>
      </c>
      <c r="H25">
        <v>4259.3999999999996</v>
      </c>
    </row>
    <row r="26" spans="1:8" x14ac:dyDescent="0.25">
      <c r="A26" t="s">
        <v>10</v>
      </c>
      <c r="B26">
        <v>2025</v>
      </c>
      <c r="C26">
        <v>4813</v>
      </c>
      <c r="D26" t="s">
        <v>40</v>
      </c>
      <c r="E26" t="s">
        <v>36</v>
      </c>
      <c r="F26" t="s">
        <v>45</v>
      </c>
      <c r="G26">
        <v>64.63</v>
      </c>
      <c r="H26">
        <v>3156.48</v>
      </c>
    </row>
    <row r="27" spans="1:8" x14ac:dyDescent="0.25">
      <c r="A27" t="s">
        <v>9</v>
      </c>
      <c r="B27">
        <v>2025</v>
      </c>
      <c r="C27">
        <v>4811</v>
      </c>
      <c r="D27" t="s">
        <v>35</v>
      </c>
      <c r="E27" t="s">
        <v>36</v>
      </c>
      <c r="F27" t="s">
        <v>47</v>
      </c>
      <c r="G27">
        <v>113.38</v>
      </c>
      <c r="H27">
        <v>9157.2800000000007</v>
      </c>
    </row>
    <row r="28" spans="1:8" x14ac:dyDescent="0.25">
      <c r="G28">
        <f>SUBTOTAL(109,Tableau1[Hours])</f>
        <v>3096.1000000000004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B4AC2-5C09-48A0-A68C-84DDB3FECB1D}">
  <dimension ref="A1:A2"/>
  <sheetViews>
    <sheetView workbookViewId="0"/>
  </sheetViews>
  <sheetFormatPr baseColWidth="10" defaultRowHeight="15" x14ac:dyDescent="0.25"/>
  <sheetData>
    <row r="1" spans="1:1" x14ac:dyDescent="0.25">
      <c r="A1" s="2" t="s">
        <v>54</v>
      </c>
    </row>
    <row r="2" spans="1:1" x14ac:dyDescent="0.25">
      <c r="A2" t="s">
        <v>55</v>
      </c>
    </row>
  </sheetData>
  <pageMargins left="0.7" right="0.7" top="0.78740157499999996" bottom="0.78740157499999996"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8E7DA573AFA34BA717F037D1B51E93" ma:contentTypeVersion="17" ma:contentTypeDescription="Create a new document." ma:contentTypeScope="" ma:versionID="891d886c4f18fbdc14261d5cf6e495ce">
  <xsd:schema xmlns:xsd="http://www.w3.org/2001/XMLSchema" xmlns:xs="http://www.w3.org/2001/XMLSchema" xmlns:p="http://schemas.microsoft.com/office/2006/metadata/properties" xmlns:ns2="42797759-7cae-4cc1-8302-5817df3fb837" xmlns:ns3="877dcf6a-09ea-486f-b1cf-d86cf0e5030b" targetNamespace="http://schemas.microsoft.com/office/2006/metadata/properties" ma:root="true" ma:fieldsID="8645cc9fb9825ebed5d231aea3af991f" ns2:_="" ns3:_="">
    <xsd:import namespace="42797759-7cae-4cc1-8302-5817df3fb837"/>
    <xsd:import namespace="877dcf6a-09ea-486f-b1cf-d86cf0e503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97759-7cae-4cc1-8302-5817df3fb8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13a2689-bec8-4d0a-86fb-7d0ced5a07a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7dcf6a-09ea-486f-b1cf-d86cf0e5030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859d8ca-5d3b-4dcb-b392-3cc349620d2a}" ma:internalName="TaxCatchAll" ma:showField="CatchAllData" ma:web="877dcf6a-09ea-486f-b1cf-d86cf0e503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2797759-7cae-4cc1-8302-5817df3fb837">
      <Terms xmlns="http://schemas.microsoft.com/office/infopath/2007/PartnerControls"/>
    </lcf76f155ced4ddcb4097134ff3c332f>
    <TaxCatchAll xmlns="877dcf6a-09ea-486f-b1cf-d86cf0e5030b" xsi:nil="true"/>
  </documentManagement>
</p:properties>
</file>

<file path=customXml/itemProps1.xml><?xml version="1.0" encoding="utf-8"?>
<ds:datastoreItem xmlns:ds="http://schemas.openxmlformats.org/officeDocument/2006/customXml" ds:itemID="{FC9270B7-8E6A-4CC2-9231-49EBAC671393}"/>
</file>

<file path=customXml/itemProps2.xml><?xml version="1.0" encoding="utf-8"?>
<ds:datastoreItem xmlns:ds="http://schemas.openxmlformats.org/officeDocument/2006/customXml" ds:itemID="{03ED3989-031C-4152-B054-133B2F31F35C}"/>
</file>

<file path=customXml/itemProps3.xml><?xml version="1.0" encoding="utf-8"?>
<ds:datastoreItem xmlns:ds="http://schemas.openxmlformats.org/officeDocument/2006/customXml" ds:itemID="{63D58680-4804-4DC8-9258-2F6EF5DAC8F7}"/>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Summary</vt:lpstr>
      <vt:lpstr>Work Package Details</vt:lpstr>
      <vt:lpstr>AACCampos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Stela Djurovic</dc:creator>
  <cp:lastModifiedBy>Stela Djurovic</cp:lastModifiedBy>
  <dcterms:created xsi:type="dcterms:W3CDTF">2025-12-29T16:01:14Z</dcterms:created>
  <dcterms:modified xsi:type="dcterms:W3CDTF">2026-01-05T10:38:18Z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0x0101003E8E7DA573AFA34BA717F037D1B51E93</vt:lpwstr>
  </property>
</Properties>
</file>