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https://steinbeis2igmbh.sharepoint.com/sites/Projektabrechnungen/Shared Documents/General/ROBIN_720740/P2_2024-03-2025-08 ROBIN/"/>
    </mc:Choice>
  </mc:AlternateContent>
  <xr:revisionPtr revIDLastSave="5641" documentId="8_{518A547E-4046-4C30-8167-FBDB3A23A084}" xr6:coauthVersionLast="47" xr6:coauthVersionMax="47" xr10:uidLastSave="{8D19D9A2-712B-41F1-9D7D-3361AB6D4602}"/>
  <bookViews>
    <workbookView xWindow="-120" yWindow="-120" windowWidth="29040" windowHeight="15720" activeTab="3" xr2:uid="{00000000-000D-0000-FFFF-FFFF00000000}"/>
  </bookViews>
  <sheets>
    <sheet name="Tage_PM_pro_WP" sheetId="4" r:id="rId1"/>
    <sheet name="PK-Berechnung" sheetId="5" r:id="rId2"/>
    <sheet name="Gehälter" sheetId="3" r:id="rId3"/>
    <sheet name="Stundenzettel" sheetId="7" r:id="rId4"/>
    <sheet name="GuV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0" i="5" l="1"/>
  <c r="V25" i="5"/>
  <c r="V24" i="5"/>
  <c r="AK4" i="5"/>
  <c r="AK5" i="5"/>
  <c r="AK6" i="5"/>
  <c r="AK7" i="5"/>
  <c r="AK8" i="5"/>
  <c r="AK9" i="5"/>
  <c r="AK10" i="5"/>
  <c r="AK11" i="5"/>
  <c r="AI11" i="5" l="1"/>
  <c r="AI4" i="5"/>
  <c r="AI5" i="5"/>
  <c r="AI6" i="5"/>
  <c r="AI7" i="5"/>
  <c r="AI8" i="5"/>
  <c r="AI9" i="5"/>
  <c r="AI10" i="5"/>
  <c r="AH4" i="5"/>
  <c r="AH5" i="5"/>
  <c r="AH6" i="5"/>
  <c r="AH7" i="5"/>
  <c r="AH9" i="5"/>
  <c r="AH10" i="5"/>
  <c r="AH11" i="5"/>
  <c r="D4" i="8"/>
  <c r="D5" i="8"/>
  <c r="B6" i="8"/>
  <c r="B7" i="8" l="1"/>
  <c r="E5" i="5"/>
  <c r="A56" i="5"/>
  <c r="D55" i="5"/>
  <c r="A55" i="5"/>
  <c r="D13" i="4" l="1"/>
  <c r="D14" i="4"/>
  <c r="D15" i="4"/>
  <c r="AD12" i="5"/>
  <c r="P3" i="5"/>
  <c r="Q3" i="5"/>
  <c r="R3" i="5"/>
  <c r="S3" i="5"/>
  <c r="T3" i="5"/>
  <c r="P4" i="5"/>
  <c r="Q4" i="5"/>
  <c r="R4" i="5"/>
  <c r="S4" i="5"/>
  <c r="T4" i="5"/>
  <c r="P5" i="5"/>
  <c r="Q5" i="5"/>
  <c r="R5" i="5"/>
  <c r="S5" i="5"/>
  <c r="T5" i="5"/>
  <c r="P6" i="5"/>
  <c r="Q6" i="5"/>
  <c r="R6" i="5"/>
  <c r="S6" i="5"/>
  <c r="T6" i="5"/>
  <c r="P7" i="5"/>
  <c r="Q7" i="5"/>
  <c r="R7" i="5"/>
  <c r="S7" i="5"/>
  <c r="T7" i="5"/>
  <c r="P8" i="5"/>
  <c r="Q8" i="5"/>
  <c r="R8" i="5"/>
  <c r="S8" i="5"/>
  <c r="T8" i="5"/>
  <c r="P9" i="5"/>
  <c r="Q9" i="5"/>
  <c r="R9" i="5"/>
  <c r="S9" i="5"/>
  <c r="T9" i="5"/>
  <c r="P10" i="5"/>
  <c r="Q10" i="5"/>
  <c r="R10" i="5"/>
  <c r="S10" i="5"/>
  <c r="T10" i="5"/>
  <c r="P11" i="5"/>
  <c r="Q11" i="5"/>
  <c r="R11" i="5"/>
  <c r="S11" i="5"/>
  <c r="T11" i="5"/>
  <c r="P2" i="5"/>
  <c r="Q2" i="5"/>
  <c r="S19" i="3"/>
  <c r="U11" i="5" s="1"/>
  <c r="S18" i="3"/>
  <c r="U10" i="5" s="1"/>
  <c r="E10" i="5"/>
  <c r="E11" i="5"/>
  <c r="E9" i="5"/>
  <c r="E8" i="5"/>
  <c r="E7" i="5"/>
  <c r="E4" i="5"/>
  <c r="E3" i="5"/>
  <c r="E2" i="5"/>
  <c r="AC10" i="5" l="1"/>
  <c r="AA10" i="5"/>
  <c r="AB10" i="5"/>
  <c r="Z10" i="5"/>
  <c r="Z11" i="5"/>
  <c r="AC11" i="5"/>
  <c r="AA11" i="5"/>
  <c r="AB11" i="5"/>
  <c r="V11" i="5"/>
  <c r="V10" i="5"/>
  <c r="AE10" i="5" l="1"/>
  <c r="AE11" i="5"/>
  <c r="R2" i="5" l="1"/>
  <c r="S2" i="5"/>
  <c r="T2" i="5"/>
  <c r="E6" i="5" l="1"/>
  <c r="M12" i="5" l="1"/>
  <c r="L12" i="5"/>
  <c r="B12" i="4" s="1"/>
  <c r="S11" i="3" l="1"/>
  <c r="U3" i="5" s="1"/>
  <c r="AI3" i="5" s="1"/>
  <c r="AK3" i="5" s="1"/>
  <c r="S12" i="3"/>
  <c r="S13" i="3"/>
  <c r="S14" i="3"/>
  <c r="U6" i="5" s="1"/>
  <c r="S15" i="3"/>
  <c r="S16" i="3"/>
  <c r="S17" i="3"/>
  <c r="U9" i="5" s="1"/>
  <c r="S10" i="3"/>
  <c r="U2" i="5" s="1"/>
  <c r="AI2" i="5" s="1"/>
  <c r="AK2" i="5" s="1"/>
  <c r="U5" i="5" l="1"/>
  <c r="U4" i="5"/>
  <c r="Z2" i="5"/>
  <c r="AC2" i="5"/>
  <c r="AA2" i="5"/>
  <c r="AB2" i="5"/>
  <c r="V2" i="5"/>
  <c r="AH2" i="5" s="1"/>
  <c r="AA9" i="5"/>
  <c r="AB9" i="5"/>
  <c r="Z9" i="5"/>
  <c r="AC9" i="5"/>
  <c r="V9" i="5"/>
  <c r="U8" i="5"/>
  <c r="U7" i="5"/>
  <c r="AA6" i="5"/>
  <c r="AB6" i="5"/>
  <c r="Z6" i="5"/>
  <c r="AC6" i="5"/>
  <c r="AB3" i="5"/>
  <c r="Z3" i="5"/>
  <c r="AA3" i="5"/>
  <c r="AC3" i="5"/>
  <c r="V3" i="5"/>
  <c r="AH3" i="5" s="1"/>
  <c r="V6" i="5"/>
  <c r="H12" i="5"/>
  <c r="I12" i="5"/>
  <c r="B9" i="4" s="1"/>
  <c r="J12" i="5"/>
  <c r="B10" i="4" s="1"/>
  <c r="K12" i="5"/>
  <c r="B11" i="4" s="1"/>
  <c r="G12" i="5"/>
  <c r="B16" i="4" l="1"/>
  <c r="AE9" i="5"/>
  <c r="AE3" i="5"/>
  <c r="AE6" i="5"/>
  <c r="AE2" i="5"/>
  <c r="AA7" i="5"/>
  <c r="AB7" i="5"/>
  <c r="Z7" i="5"/>
  <c r="AC7" i="5"/>
  <c r="V7" i="5"/>
  <c r="AB4" i="5"/>
  <c r="Z4" i="5"/>
  <c r="AC4" i="5"/>
  <c r="AA4" i="5"/>
  <c r="V4" i="5"/>
  <c r="AA8" i="5"/>
  <c r="AB8" i="5"/>
  <c r="Z8" i="5"/>
  <c r="AC8" i="5"/>
  <c r="V8" i="5"/>
  <c r="AH8" i="5" s="1"/>
  <c r="AH12" i="5" s="1"/>
  <c r="AB5" i="5"/>
  <c r="Z5" i="5"/>
  <c r="AC5" i="5"/>
  <c r="V5" i="5"/>
  <c r="AA5" i="5"/>
  <c r="S12" i="5"/>
  <c r="E12" i="4" s="1"/>
  <c r="D12" i="4" s="1"/>
  <c r="X12" i="5"/>
  <c r="W12" i="5"/>
  <c r="AE5" i="5" l="1"/>
  <c r="AB12" i="5"/>
  <c r="C11" i="4" s="1"/>
  <c r="AE7" i="5"/>
  <c r="B15" i="5"/>
  <c r="AA12" i="5"/>
  <c r="C10" i="4" s="1"/>
  <c r="AE4" i="5"/>
  <c r="AC12" i="5"/>
  <c r="C12" i="4" s="1"/>
  <c r="AE8" i="5"/>
  <c r="Z12" i="5"/>
  <c r="C9" i="4" s="1"/>
  <c r="T12" i="5"/>
  <c r="AE12" i="5" l="1"/>
  <c r="C16" i="4"/>
  <c r="R12" i="5"/>
  <c r="E11" i="4" s="1"/>
  <c r="D11" i="4" s="1"/>
  <c r="Q12" i="5"/>
  <c r="E10" i="4" s="1"/>
  <c r="D10" i="4" s="1"/>
  <c r="P12" i="5"/>
  <c r="E9" i="4" s="1"/>
  <c r="D9" i="4" s="1"/>
  <c r="O12" i="5"/>
  <c r="D16" i="4" l="1"/>
  <c r="E16" i="4"/>
  <c r="Y6" i="5"/>
  <c r="Y11" i="5"/>
  <c r="Y3" i="5"/>
  <c r="Y10" i="5"/>
  <c r="Y2" i="5" l="1"/>
  <c r="Y12" i="5" l="1"/>
  <c r="V12" i="5"/>
  <c r="C3" i="8" s="1"/>
  <c r="D3" i="8" l="1"/>
  <c r="C6" i="8"/>
  <c r="C15" i="5"/>
  <c r="D15" i="5" s="1"/>
  <c r="E15" i="5"/>
  <c r="C7" i="8" l="1"/>
  <c r="D6" i="8"/>
  <c r="D7" i="8" s="1"/>
  <c r="D9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tc={0CD82DFA-FF41-440D-99D7-24BD42552E4F}</author>
    <author>tc={F008D8ED-4147-424B-95A0-9A1DAC5278B7}</author>
    <author>tc={D64FD3D8-291A-424C-9772-1CB2448E34D2}</author>
  </authors>
  <commentList>
    <comment ref="W1" authorId="0" shapeId="0" xr:uid="{0CD82DFA-FF41-440D-99D7-24BD42552E4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Nur für uns, als Info, mit der Spalte T zu vergleichen!</t>
      </text>
    </comment>
    <comment ref="X1" authorId="1" shapeId="0" xr:uid="{F008D8ED-4147-424B-95A0-9A1DAC527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Nur für uns, als Info, mit der Spalte T zu vergleichen!</t>
      </text>
    </comment>
    <comment ref="E24" authorId="2" shapeId="0" xr:uid="{D64FD3D8-291A-424C-9772-1CB2448E34D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Goranka</t>
      </text>
    </comment>
  </commentList>
</comments>
</file>

<file path=xl/sharedStrings.xml><?xml version="1.0" encoding="utf-8"?>
<sst xmlns="http://schemas.openxmlformats.org/spreadsheetml/2006/main" count="152" uniqueCount="122">
  <si>
    <t>Project name</t>
  </si>
  <si>
    <t>ROBIN</t>
  </si>
  <si>
    <t>Reporting Period</t>
  </si>
  <si>
    <t>P2</t>
  </si>
  <si>
    <t>Start</t>
  </si>
  <si>
    <t>End</t>
  </si>
  <si>
    <t>Date</t>
  </si>
  <si>
    <t>Organisation</t>
  </si>
  <si>
    <t>S2i</t>
  </si>
  <si>
    <t>PM pro WP</t>
  </si>
  <si>
    <t>Summe von Stunden</t>
  </si>
  <si>
    <t>Summe von Personal costs</t>
  </si>
  <si>
    <t>Summe von PM</t>
  </si>
  <si>
    <t>Summe von Tagen</t>
  </si>
  <si>
    <t>WP3</t>
  </si>
  <si>
    <t>WP4</t>
  </si>
  <si>
    <t>WP5</t>
  </si>
  <si>
    <t>WP6</t>
  </si>
  <si>
    <t xml:space="preserve">Gesamtergebnis ohne ExCo </t>
  </si>
  <si>
    <t xml:space="preserve">ExCo 2024 </t>
  </si>
  <si>
    <t>in TKS gibt es nicht</t>
  </si>
  <si>
    <t xml:space="preserve">H2020 </t>
  </si>
  <si>
    <t xml:space="preserve">nicht relevant </t>
  </si>
  <si>
    <t>P1: 01.03.2024-31.08.2025 
S2i</t>
  </si>
  <si>
    <t>Vollzeit</t>
  </si>
  <si>
    <t>Teilzeit</t>
  </si>
  <si>
    <t>Anzahl der Monate</t>
  </si>
  <si>
    <t>Max.Tage</t>
  </si>
  <si>
    <t>Max. Tage auf-abrunden</t>
  </si>
  <si>
    <t>Projektst. WP1</t>
  </si>
  <si>
    <t>Projektst. WP2</t>
  </si>
  <si>
    <t>Projektst. WP3</t>
  </si>
  <si>
    <t>Projektst. WP4</t>
  </si>
  <si>
    <t>Projektst. WP5</t>
  </si>
  <si>
    <t>Projektst. WP6</t>
  </si>
  <si>
    <t>Projektst. WP</t>
  </si>
  <si>
    <t>Tagesäquiv. Ab und-Aufrund. WP1</t>
  </si>
  <si>
    <t>Tagesäquiv. Ab und-Aufrund. WP2</t>
  </si>
  <si>
    <t>Tagesäquiv. Ab und-Aufrund. WP3</t>
  </si>
  <si>
    <t>Tagesäquiv. Ab und-Aufrund. WP4</t>
  </si>
  <si>
    <t>Tagesäquiv. Ab und-Aufrund. WP5</t>
  </si>
  <si>
    <t>Tagesäquiv. Ab und-Aufrund. WP6</t>
  </si>
  <si>
    <t>Tagesäquiv. Ab und-Aufrund. WP</t>
  </si>
  <si>
    <t>Tagessatz=AGBrutto/Max T.</t>
  </si>
  <si>
    <t>PK=Tagesäquiv. *Tagessatz</t>
  </si>
  <si>
    <t>Ingeni Kosten</t>
  </si>
  <si>
    <t>H2020 Methode Kosten</t>
  </si>
  <si>
    <t>TOTAL PK - WP2</t>
  </si>
  <si>
    <t>TOTAL PK - WP3</t>
  </si>
  <si>
    <t>TOTAL PK - WP4</t>
  </si>
  <si>
    <t>TOTAL PK - WP5</t>
  </si>
  <si>
    <t>TOTAL PK - WP6</t>
  </si>
  <si>
    <t>TOTAL PK - WP7</t>
  </si>
  <si>
    <t>TOTAL PK</t>
  </si>
  <si>
    <t>Differenz HEU:H2020</t>
  </si>
  <si>
    <t>HEU Tagessatz als St.satz</t>
  </si>
  <si>
    <t>Std.Satz von 2024 inkl. indiv. SVg.</t>
  </si>
  <si>
    <t>Differenz</t>
  </si>
  <si>
    <t>Berlin, Mercedes</t>
  </si>
  <si>
    <t>Campos, Alejandra</t>
  </si>
  <si>
    <t>Chiran, Daniela</t>
  </si>
  <si>
    <t>Cosic, Miljana</t>
  </si>
  <si>
    <t>Gohla, Robert</t>
  </si>
  <si>
    <t>Heni, Angela</t>
  </si>
  <si>
    <t>Loeffler, Jonathan</t>
  </si>
  <si>
    <t>Roth, Clémentine</t>
  </si>
  <si>
    <t>0,70 &amp; 0,80</t>
  </si>
  <si>
    <t>Sarenkapa, Tea</t>
  </si>
  <si>
    <t>Schlichenmaier, Nadja</t>
  </si>
  <si>
    <t>TOTAL</t>
  </si>
  <si>
    <t>Cost Statement:</t>
  </si>
  <si>
    <t>10% Überprüfung</t>
  </si>
  <si>
    <t>IST</t>
  </si>
  <si>
    <t>SOLL</t>
  </si>
  <si>
    <t>DIFF</t>
  </si>
  <si>
    <t>%</t>
  </si>
  <si>
    <t>IO</t>
  </si>
  <si>
    <t>Bemerkungen:</t>
  </si>
  <si>
    <t>Berechnungen</t>
  </si>
  <si>
    <t>Hat jmd. den Vertrag, der nicht ab 01. anfängt, kannst Du es bitte prüfen?</t>
  </si>
  <si>
    <t>10 x 75</t>
  </si>
  <si>
    <t>8 x 75</t>
  </si>
  <si>
    <t>6 x 100</t>
  </si>
  <si>
    <t>8 x 100</t>
  </si>
  <si>
    <t>10 x 100</t>
  </si>
  <si>
    <t>MS ab 21.07.2025; wir bekommen weitere KK-Erstattungen für den MS; Gehalt 2025 berücksichtigt die bisher entstandenen Kosten inkl. KK-Erstattung</t>
  </si>
  <si>
    <t>2 x 62,5</t>
  </si>
  <si>
    <t>10 x 70</t>
  </si>
  <si>
    <t>1 x 70; 7 x 80</t>
  </si>
  <si>
    <t>7 x 75</t>
  </si>
  <si>
    <t>in 2025 bis Ende August in der SIG</t>
  </si>
  <si>
    <t>3 x 100</t>
  </si>
  <si>
    <t xml:space="preserve">M. Cosic (s. Stundenzettel): sie ist seit 21.07.2025 im Mutterschutz </t>
  </si>
  <si>
    <t>day-equivalents of parental leave</t>
  </si>
  <si>
    <t>oder</t>
  </si>
  <si>
    <t>maximum declarable day-equivalents for the reporting period</t>
  </si>
  <si>
    <t>SU2017</t>
  </si>
  <si>
    <t>Mrz-Dez 2024</t>
  </si>
  <si>
    <t>Jan-Aug 2025</t>
  </si>
  <si>
    <t>ROBIN - Berechnung 01.09.2022 - 31.08.2025</t>
  </si>
  <si>
    <t>P1</t>
  </si>
  <si>
    <t>Total</t>
  </si>
  <si>
    <t>Personalkosten</t>
  </si>
  <si>
    <t>Reisekosten</t>
  </si>
  <si>
    <t>Sonstige K.</t>
  </si>
  <si>
    <t xml:space="preserve">OH 25% </t>
  </si>
  <si>
    <t xml:space="preserve">Total  </t>
  </si>
  <si>
    <t>EU- Finanzierung SOLL</t>
  </si>
  <si>
    <t>Differenz Total Finanz.-Total Kosten</t>
  </si>
  <si>
    <t>Das sind die finalen Kosten für 2025 mit MS und EZ</t>
  </si>
  <si>
    <t>hier geht es nicht um ein ganzes Kalenderjahr, deswegen kein HC/DC!</t>
  </si>
  <si>
    <t>Wenn LJ mehr schreiben soll</t>
  </si>
  <si>
    <t>EUR</t>
  </si>
  <si>
    <t>EUR/LJ Tagessatz</t>
  </si>
  <si>
    <t>7,68 Tage in h</t>
  </si>
  <si>
    <t>Aufrunden:</t>
  </si>
  <si>
    <t>LJ schreibt mehr auf</t>
  </si>
  <si>
    <t>Kosten:</t>
  </si>
  <si>
    <t>Alte Version</t>
  </si>
  <si>
    <t>Fehlt die 64 Stunden von Hr. Loeffler</t>
  </si>
  <si>
    <t>Er soll noch 64h = 8 Tage in 2025 aufschreiben</t>
  </si>
  <si>
    <t xml:space="preserve">Double ceiling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</si>
</sst>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\ &quot;€&quot;"/>
    <numFmt numFmtId="165" formatCode="#,##0.000\ &quot;€&quot;"/>
    <numFmt numFmtId="166" formatCode="0.000000"/>
    <numFmt numFmtId="167" formatCode="#,##0.00_ ;\-#,##0.00\ "/>
    <numFmt numFmtId="168" formatCode="_-* #,##0.00\ [$€-407]_-;\-* #,##0.00\ [$€-407]_-;_-* &quot;-&quot;??\ [$€-407]_-;_-@_-"/>
    <numFmt numFmtId="169" formatCode="0.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EE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double">
        <color theme="7" tint="-0.249977111117893"/>
      </top>
      <bottom/>
      <diagonal/>
    </border>
    <border>
      <left/>
      <right style="medium">
        <color indexed="64"/>
      </right>
      <top style="double">
        <color theme="7" tint="-0.249977111117893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indexed="64"/>
      </right>
      <top style="double">
        <color theme="7" tint="-0.249977111117893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theme="7" tint="-0.249977111117893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9" fontId="9" fillId="0" borderId="0" applyFont="0" applyFill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10" applyNumberFormat="0" applyAlignment="0" applyProtection="0"/>
    <xf numFmtId="0" fontId="9" fillId="9" borderId="0" applyNumberFormat="0" applyBorder="0" applyAlignment="0" applyProtection="0"/>
    <xf numFmtId="44" fontId="9" fillId="0" borderId="0" applyFont="0" applyFill="0" applyBorder="0" applyAlignment="0" applyProtection="0"/>
  </cellStyleXfs>
  <cellXfs count="140">
    <xf numFmtId="0" fontId="0" fillId="0" borderId="0" xfId="0"/>
    <xf numFmtId="14" fontId="1" fillId="2" borderId="0" xfId="0" applyNumberFormat="1" applyFont="1" applyFill="1" applyAlignment="1">
      <alignment horizontal="left" wrapText="1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164" fontId="0" fillId="0" borderId="0" xfId="0" applyNumberFormat="1"/>
    <xf numFmtId="0" fontId="1" fillId="2" borderId="0" xfId="0" applyFont="1" applyFill="1"/>
    <xf numFmtId="0" fontId="0" fillId="2" borderId="0" xfId="0" applyFill="1" applyAlignment="1">
      <alignment horizontal="center"/>
    </xf>
    <xf numFmtId="0" fontId="5" fillId="2" borderId="0" xfId="0" applyFont="1" applyFill="1"/>
    <xf numFmtId="0" fontId="6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8" fontId="0" fillId="0" borderId="0" xfId="0" applyNumberFormat="1"/>
    <xf numFmtId="0" fontId="1" fillId="0" borderId="0" xfId="0" applyFont="1"/>
    <xf numFmtId="0" fontId="5" fillId="0" borderId="0" xfId="0" applyFont="1"/>
    <xf numFmtId="164" fontId="1" fillId="2" borderId="1" xfId="0" applyNumberFormat="1" applyFont="1" applyFill="1" applyBorder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4" fontId="0" fillId="0" borderId="0" xfId="0" applyNumberFormat="1"/>
    <xf numFmtId="0" fontId="2" fillId="2" borderId="1" xfId="0" applyFont="1" applyFill="1" applyBorder="1"/>
    <xf numFmtId="164" fontId="3" fillId="0" borderId="0" xfId="0" applyNumberFormat="1" applyFont="1"/>
    <xf numFmtId="9" fontId="0" fillId="0" borderId="0" xfId="1" applyFont="1"/>
    <xf numFmtId="0" fontId="4" fillId="0" borderId="0" xfId="0" applyFont="1"/>
    <xf numFmtId="9" fontId="5" fillId="0" borderId="0" xfId="1" applyFont="1"/>
    <xf numFmtId="0" fontId="5" fillId="0" borderId="0" xfId="0" applyFont="1" applyAlignment="1">
      <alignment horizontal="right"/>
    </xf>
    <xf numFmtId="0" fontId="5" fillId="2" borderId="0" xfId="0" applyFont="1" applyFill="1" applyAlignment="1">
      <alignment vertical="center"/>
    </xf>
    <xf numFmtId="164" fontId="1" fillId="0" borderId="0" xfId="0" applyNumberFormat="1" applyFont="1"/>
    <xf numFmtId="14" fontId="0" fillId="0" borderId="0" xfId="0" applyNumberFormat="1" applyAlignment="1">
      <alignment horizontal="right"/>
    </xf>
    <xf numFmtId="0" fontId="3" fillId="0" borderId="0" xfId="0" applyFont="1" applyAlignment="1">
      <alignment horizontal="center"/>
    </xf>
    <xf numFmtId="2" fontId="0" fillId="0" borderId="0" xfId="0" applyNumberFormat="1"/>
    <xf numFmtId="1" fontId="0" fillId="0" borderId="0" xfId="0" applyNumberFormat="1"/>
    <xf numFmtId="0" fontId="0" fillId="2" borderId="5" xfId="0" applyFill="1" applyBorder="1"/>
    <xf numFmtId="0" fontId="4" fillId="4" borderId="0" xfId="0" applyFont="1" applyFill="1" applyAlignment="1">
      <alignment horizontal="center" wrapText="1"/>
    </xf>
    <xf numFmtId="0" fontId="12" fillId="0" borderId="0" xfId="0" applyFont="1"/>
    <xf numFmtId="0" fontId="12" fillId="0" borderId="2" xfId="0" applyFont="1" applyBorder="1"/>
    <xf numFmtId="0" fontId="11" fillId="0" borderId="4" xfId="0" applyFont="1" applyBorder="1" applyAlignment="1">
      <alignment horizontal="center"/>
    </xf>
    <xf numFmtId="164" fontId="8" fillId="0" borderId="9" xfId="0" applyNumberFormat="1" applyFont="1" applyBorder="1"/>
    <xf numFmtId="164" fontId="1" fillId="0" borderId="8" xfId="0" applyNumberFormat="1" applyFont="1" applyBorder="1"/>
    <xf numFmtId="0" fontId="2" fillId="3" borderId="0" xfId="0" applyFont="1" applyFill="1" applyAlignment="1">
      <alignment horizontal="center" wrapText="1"/>
    </xf>
    <xf numFmtId="0" fontId="6" fillId="5" borderId="0" xfId="0" applyFont="1" applyFill="1"/>
    <xf numFmtId="0" fontId="15" fillId="8" borderId="11" xfId="4" applyBorder="1" applyAlignment="1">
      <alignment horizontal="center" wrapText="1"/>
    </xf>
    <xf numFmtId="0" fontId="15" fillId="8" borderId="12" xfId="4" applyBorder="1" applyAlignment="1">
      <alignment horizontal="center" wrapText="1"/>
    </xf>
    <xf numFmtId="165" fontId="15" fillId="8" borderId="12" xfId="4" applyNumberFormat="1" applyBorder="1" applyAlignment="1">
      <alignment wrapText="1"/>
    </xf>
    <xf numFmtId="0" fontId="15" fillId="8" borderId="13" xfId="4" applyBorder="1" applyAlignment="1">
      <alignment horizontal="center" wrapText="1"/>
    </xf>
    <xf numFmtId="8" fontId="0" fillId="0" borderId="7" xfId="0" applyNumberFormat="1" applyBorder="1"/>
    <xf numFmtId="166" fontId="0" fillId="0" borderId="14" xfId="0" applyNumberFormat="1" applyBorder="1"/>
    <xf numFmtId="9" fontId="0" fillId="0" borderId="0" xfId="0" applyNumberFormat="1" applyAlignment="1">
      <alignment horizontal="center"/>
    </xf>
    <xf numFmtId="0" fontId="7" fillId="10" borderId="15" xfId="0" applyFont="1" applyFill="1" applyBorder="1" applyAlignment="1">
      <alignment horizontal="left"/>
    </xf>
    <xf numFmtId="2" fontId="7" fillId="10" borderId="15" xfId="0" applyNumberFormat="1" applyFont="1" applyFill="1" applyBorder="1" applyAlignment="1">
      <alignment horizontal="left" vertical="center"/>
    </xf>
    <xf numFmtId="0" fontId="4" fillId="2" borderId="0" xfId="0" applyFont="1" applyFill="1"/>
    <xf numFmtId="164" fontId="1" fillId="0" borderId="3" xfId="0" applyNumberFormat="1" applyFont="1" applyBorder="1"/>
    <xf numFmtId="2" fontId="7" fillId="10" borderId="15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8" fontId="5" fillId="0" borderId="0" xfId="0" applyNumberFormat="1" applyFont="1"/>
    <xf numFmtId="164" fontId="4" fillId="12" borderId="6" xfId="0" applyNumberFormat="1" applyFont="1" applyFill="1" applyBorder="1"/>
    <xf numFmtId="164" fontId="4" fillId="0" borderId="0" xfId="0" applyNumberFormat="1" applyFont="1"/>
    <xf numFmtId="16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164" fontId="8" fillId="0" borderId="16" xfId="0" applyNumberFormat="1" applyFont="1" applyBorder="1"/>
    <xf numFmtId="2" fontId="5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2" fillId="0" borderId="0" xfId="0" applyFont="1"/>
    <xf numFmtId="0" fontId="3" fillId="13" borderId="0" xfId="0" applyFont="1" applyFill="1"/>
    <xf numFmtId="0" fontId="3" fillId="0" borderId="0" xfId="0" applyFont="1" applyAlignment="1">
      <alignment wrapText="1"/>
    </xf>
    <xf numFmtId="49" fontId="1" fillId="0" borderId="3" xfId="0" applyNumberFormat="1" applyFont="1" applyBorder="1"/>
    <xf numFmtId="164" fontId="1" fillId="0" borderId="17" xfId="0" applyNumberFormat="1" applyFont="1" applyBorder="1"/>
    <xf numFmtId="0" fontId="6" fillId="0" borderId="0" xfId="0" applyFont="1" applyAlignment="1">
      <alignment horizontal="center"/>
    </xf>
    <xf numFmtId="164" fontId="5" fillId="0" borderId="0" xfId="0" applyNumberFormat="1" applyFont="1" applyAlignment="1">
      <alignment wrapText="1"/>
    </xf>
    <xf numFmtId="2" fontId="0" fillId="14" borderId="15" xfId="0" applyNumberFormat="1" applyFill="1" applyBorder="1" applyAlignment="1">
      <alignment horizontal="left" vertical="center"/>
    </xf>
    <xf numFmtId="0" fontId="16" fillId="0" borderId="0" xfId="3" applyFont="1" applyFill="1"/>
    <xf numFmtId="0" fontId="16" fillId="0" borderId="0" xfId="0" applyFont="1"/>
    <xf numFmtId="0" fontId="0" fillId="0" borderId="0" xfId="0" applyAlignment="1">
      <alignment horizontal="right"/>
    </xf>
    <xf numFmtId="0" fontId="1" fillId="15" borderId="0" xfId="0" applyFont="1" applyFill="1"/>
    <xf numFmtId="0" fontId="0" fillId="15" borderId="0" xfId="0" applyFill="1"/>
    <xf numFmtId="4" fontId="6" fillId="15" borderId="0" xfId="0" applyNumberFormat="1" applyFont="1" applyFill="1"/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0" fontId="0" fillId="0" borderId="1" xfId="0" applyBorder="1"/>
    <xf numFmtId="0" fontId="1" fillId="0" borderId="18" xfId="0" applyFont="1" applyBorder="1" applyAlignment="1">
      <alignment horizontal="left"/>
    </xf>
    <xf numFmtId="169" fontId="5" fillId="0" borderId="0" xfId="0" applyNumberFormat="1" applyFont="1" applyAlignment="1">
      <alignment horizontal="center"/>
    </xf>
    <xf numFmtId="10" fontId="0" fillId="0" borderId="0" xfId="1" applyNumberFormat="1" applyFont="1"/>
    <xf numFmtId="0" fontId="5" fillId="0" borderId="0" xfId="2" applyFont="1" applyFill="1" applyAlignment="1">
      <alignment horizontal="center"/>
    </xf>
    <xf numFmtId="0" fontId="17" fillId="0" borderId="0" xfId="0" applyFont="1"/>
    <xf numFmtId="0" fontId="0" fillId="0" borderId="0" xfId="0" applyAlignment="1">
      <alignment wrapText="1"/>
    </xf>
    <xf numFmtId="168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center" vertical="center"/>
    </xf>
    <xf numFmtId="0" fontId="7" fillId="16" borderId="0" xfId="0" applyFont="1" applyFill="1" applyAlignment="1">
      <alignment horizontal="center" wrapText="1"/>
    </xf>
    <xf numFmtId="0" fontId="0" fillId="16" borderId="0" xfId="0" applyFill="1"/>
    <xf numFmtId="0" fontId="0" fillId="16" borderId="0" xfId="0" applyFill="1" applyAlignment="1">
      <alignment wrapText="1"/>
    </xf>
    <xf numFmtId="44" fontId="1" fillId="0" borderId="0" xfId="6" applyFont="1" applyAlignment="1"/>
    <xf numFmtId="2" fontId="6" fillId="0" borderId="0" xfId="0" applyNumberFormat="1" applyFont="1"/>
    <xf numFmtId="0" fontId="4" fillId="17" borderId="0" xfId="0" applyFont="1" applyFill="1" applyAlignment="1">
      <alignment horizontal="center" wrapText="1"/>
    </xf>
    <xf numFmtId="164" fontId="0" fillId="17" borderId="0" xfId="0" applyNumberFormat="1" applyFill="1" applyAlignment="1">
      <alignment wrapText="1"/>
    </xf>
    <xf numFmtId="164" fontId="7" fillId="17" borderId="0" xfId="0" applyNumberFormat="1" applyFont="1" applyFill="1" applyAlignment="1">
      <alignment wrapText="1"/>
    </xf>
    <xf numFmtId="8" fontId="0" fillId="17" borderId="0" xfId="0" applyNumberFormat="1" applyFill="1"/>
    <xf numFmtId="164" fontId="6" fillId="0" borderId="0" xfId="0" applyNumberFormat="1" applyFont="1" applyAlignment="1">
      <alignment horizontal="center"/>
    </xf>
    <xf numFmtId="10" fontId="6" fillId="0" borderId="0" xfId="1" applyNumberFormat="1" applyFont="1"/>
    <xf numFmtId="10" fontId="13" fillId="0" borderId="0" xfId="2" applyNumberFormat="1" applyFill="1"/>
    <xf numFmtId="0" fontId="6" fillId="13" borderId="0" xfId="0" applyFont="1" applyFill="1" applyAlignment="1">
      <alignment horizontal="center" wrapText="1"/>
    </xf>
    <xf numFmtId="4" fontId="6" fillId="0" borderId="0" xfId="0" applyNumberFormat="1" applyFont="1"/>
    <xf numFmtId="0" fontId="0" fillId="18" borderId="0" xfId="0" applyFill="1" applyAlignment="1">
      <alignment wrapText="1"/>
    </xf>
    <xf numFmtId="167" fontId="0" fillId="0" borderId="0" xfId="0" applyNumberFormat="1" applyAlignment="1">
      <alignment horizontal="left" vertical="center"/>
    </xf>
    <xf numFmtId="2" fontId="1" fillId="0" borderId="0" xfId="0" applyNumberFormat="1" applyFont="1" applyAlignment="1">
      <alignment horizontal="center"/>
    </xf>
    <xf numFmtId="2" fontId="0" fillId="19" borderId="0" xfId="0" applyNumberFormat="1" applyFill="1" applyAlignment="1">
      <alignment horizontal="left"/>
    </xf>
    <xf numFmtId="164" fontId="0" fillId="15" borderId="0" xfId="0" applyNumberFormat="1" applyFill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4" fontId="18" fillId="0" borderId="1" xfId="0" applyNumberFormat="1" applyFont="1" applyBorder="1"/>
    <xf numFmtId="0" fontId="1" fillId="20" borderId="1" xfId="0" applyFont="1" applyFill="1" applyBorder="1"/>
    <xf numFmtId="164" fontId="1" fillId="20" borderId="1" xfId="0" applyNumberFormat="1" applyFont="1" applyFill="1" applyBorder="1"/>
    <xf numFmtId="0" fontId="0" fillId="15" borderId="1" xfId="0" applyFill="1" applyBorder="1"/>
    <xf numFmtId="164" fontId="1" fillId="0" borderId="1" xfId="0" applyNumberFormat="1" applyFont="1" applyBorder="1"/>
    <xf numFmtId="0" fontId="1" fillId="0" borderId="1" xfId="0" applyFont="1" applyBorder="1"/>
    <xf numFmtId="164" fontId="19" fillId="16" borderId="1" xfId="0" applyNumberFormat="1" applyFont="1" applyFill="1" applyBorder="1"/>
    <xf numFmtId="164" fontId="5" fillId="0" borderId="1" xfId="0" applyNumberFormat="1" applyFont="1" applyBorder="1"/>
    <xf numFmtId="8" fontId="0" fillId="0" borderId="21" xfId="0" applyNumberFormat="1" applyBorder="1"/>
    <xf numFmtId="8" fontId="0" fillId="0" borderId="22" xfId="0" applyNumberFormat="1" applyBorder="1"/>
    <xf numFmtId="166" fontId="0" fillId="0" borderId="24" xfId="0" applyNumberFormat="1" applyBorder="1"/>
    <xf numFmtId="166" fontId="1" fillId="0" borderId="8" xfId="0" applyNumberFormat="1" applyFont="1" applyBorder="1"/>
    <xf numFmtId="166" fontId="1" fillId="0" borderId="23" xfId="0" applyNumberFormat="1" applyFont="1" applyBorder="1"/>
    <xf numFmtId="9" fontId="16" fillId="0" borderId="2" xfId="1" applyFont="1" applyBorder="1"/>
    <xf numFmtId="0" fontId="16" fillId="0" borderId="4" xfId="0" applyFont="1" applyBorder="1"/>
    <xf numFmtId="0" fontId="0" fillId="0" borderId="7" xfId="0" applyBorder="1"/>
    <xf numFmtId="2" fontId="0" fillId="0" borderId="14" xfId="0" applyNumberFormat="1" applyBorder="1"/>
    <xf numFmtId="2" fontId="0" fillId="0" borderId="7" xfId="0" applyNumberFormat="1" applyBorder="1"/>
    <xf numFmtId="0" fontId="0" fillId="0" borderId="14" xfId="0" applyBorder="1"/>
    <xf numFmtId="0" fontId="0" fillId="0" borderId="25" xfId="0" applyBorder="1"/>
    <xf numFmtId="0" fontId="0" fillId="0" borderId="26" xfId="0" applyBorder="1"/>
    <xf numFmtId="0" fontId="0" fillId="0" borderId="14" xfId="0" quotePrefix="1" applyBorder="1"/>
    <xf numFmtId="8" fontId="0" fillId="0" borderId="14" xfId="0" applyNumberFormat="1" applyBorder="1"/>
    <xf numFmtId="8" fontId="16" fillId="0" borderId="0" xfId="0" applyNumberFormat="1" applyFont="1"/>
    <xf numFmtId="0" fontId="6" fillId="13" borderId="0" xfId="0" applyFont="1" applyFill="1"/>
    <xf numFmtId="0" fontId="1" fillId="0" borderId="19" xfId="0" applyFont="1" applyBorder="1" applyAlignment="1">
      <alignment horizontal="center"/>
    </xf>
    <xf numFmtId="0" fontId="0" fillId="0" borderId="20" xfId="0" applyBorder="1" applyAlignment="1">
      <alignment horizontal="center"/>
    </xf>
  </cellXfs>
  <cellStyles count="7">
    <cellStyle name="60 % - Akzent4 2" xfId="5" xr:uid="{95E4FF90-3783-4DBF-B83F-A4E273A57498}"/>
    <cellStyle name="Ausgabe" xfId="4" builtinId="21"/>
    <cellStyle name="Neutral" xfId="3" builtinId="28"/>
    <cellStyle name="Prozent" xfId="1" builtinId="5"/>
    <cellStyle name="Schlecht" xfId="2" builtinId="27"/>
    <cellStyle name="Standard" xfId="0" builtinId="0"/>
    <cellStyle name="Währung" xfId="6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143364</xdr:colOff>
      <xdr:row>23</xdr:row>
      <xdr:rowOff>99401</xdr:rowOff>
    </xdr:from>
    <xdr:to>
      <xdr:col>4</xdr:col>
      <xdr:colOff>474419</xdr:colOff>
      <xdr:row>37</xdr:row>
      <xdr:rowOff>161513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1E015112-1A33-DAD7-1B79-6F0E0D321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364" y="4598132"/>
          <a:ext cx="4719882" cy="27291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33618</xdr:colOff>
      <xdr:row>35</xdr:row>
      <xdr:rowOff>141510</xdr:rowOff>
    </xdr:from>
    <xdr:to>
      <xdr:col>4</xdr:col>
      <xdr:colOff>424700</xdr:colOff>
      <xdr:row>50</xdr:row>
      <xdr:rowOff>164636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0F1A3B5-D19C-463D-BFB7-093C7303C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18" y="6271128"/>
          <a:ext cx="5497789" cy="28774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152400</xdr:rowOff>
    </xdr:from>
    <xdr:to>
      <xdr:col>5</xdr:col>
      <xdr:colOff>543439</xdr:colOff>
      <xdr:row>18</xdr:row>
      <xdr:rowOff>171931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D18682B-E58A-ADA1-229F-DC080A424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52400"/>
          <a:ext cx="3686689" cy="3448531"/>
        </a:xfrm>
        <a:prstGeom prst="rect">
          <a:avLst/>
        </a:prstGeom>
      </xdr:spPr>
    </xdr:pic>
    <xdr:clientData/>
  </xdr:twoCellAnchor>
  <xdr:twoCellAnchor editAs="oneCell">
    <xdr:from>
      <xdr:col>5</xdr:col>
      <xdr:colOff>561974</xdr:colOff>
      <xdr:row>1</xdr:row>
      <xdr:rowOff>19051</xdr:rowOff>
    </xdr:from>
    <xdr:to>
      <xdr:col>6</xdr:col>
      <xdr:colOff>220313</xdr:colOff>
      <xdr:row>18</xdr:row>
      <xdr:rowOff>171923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E3024668-97A5-3BA2-0872-B98A900FA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71974" y="209551"/>
          <a:ext cx="420339" cy="33913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4</xdr:col>
      <xdr:colOff>657742</xdr:colOff>
      <xdr:row>40</xdr:row>
      <xdr:rowOff>10032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E4CEF697-C197-3594-C6A2-AB6579464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000500"/>
          <a:ext cx="3705742" cy="3629532"/>
        </a:xfrm>
        <a:prstGeom prst="rect">
          <a:avLst/>
        </a:prstGeom>
      </xdr:spPr>
    </xdr:pic>
    <xdr:clientData/>
  </xdr:twoCellAnchor>
  <xdr:twoCellAnchor editAs="oneCell">
    <xdr:from>
      <xdr:col>4</xdr:col>
      <xdr:colOff>685800</xdr:colOff>
      <xdr:row>21</xdr:row>
      <xdr:rowOff>57150</xdr:rowOff>
    </xdr:from>
    <xdr:to>
      <xdr:col>6</xdr:col>
      <xdr:colOff>324012</xdr:colOff>
      <xdr:row>40</xdr:row>
      <xdr:rowOff>29076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A5641424-5426-D68A-C40C-02CC528E8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0" y="4057650"/>
          <a:ext cx="1162212" cy="3591426"/>
        </a:xfrm>
        <a:prstGeom prst="rect">
          <a:avLst/>
        </a:prstGeom>
      </xdr:spPr>
    </xdr:pic>
    <xdr:clientData/>
  </xdr:twoCellAnchor>
  <xdr:twoCellAnchor editAs="oneCell">
    <xdr:from>
      <xdr:col>6</xdr:col>
      <xdr:colOff>342900</xdr:colOff>
      <xdr:row>21</xdr:row>
      <xdr:rowOff>47625</xdr:rowOff>
    </xdr:from>
    <xdr:to>
      <xdr:col>7</xdr:col>
      <xdr:colOff>476375</xdr:colOff>
      <xdr:row>40</xdr:row>
      <xdr:rowOff>10025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747F8F7E-1F6D-21AB-DF84-544CA8899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14900" y="4048125"/>
          <a:ext cx="895475" cy="3581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13</xdr:col>
      <xdr:colOff>96646</xdr:colOff>
      <xdr:row>59</xdr:row>
      <xdr:rowOff>19531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B35A03E5-9866-5CFF-9EB2-732CF8F4D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810500"/>
          <a:ext cx="10002646" cy="34485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14</xdr:col>
      <xdr:colOff>125331</xdr:colOff>
      <xdr:row>79</xdr:row>
      <xdr:rowOff>48110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AD76AA91-C3CE-39D3-550A-247FFF1E3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1620500"/>
          <a:ext cx="10793331" cy="347711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60</xdr:row>
      <xdr:rowOff>161925</xdr:rowOff>
    </xdr:from>
    <xdr:to>
      <xdr:col>17</xdr:col>
      <xdr:colOff>38318</xdr:colOff>
      <xdr:row>87</xdr:row>
      <xdr:rowOff>48327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76B18714-7324-6785-2F38-DBA6DF46B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430000" y="11591925"/>
          <a:ext cx="1562318" cy="5029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4</xdr:col>
      <xdr:colOff>629163</xdr:colOff>
      <xdr:row>100</xdr:row>
      <xdr:rowOff>479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1470AD7C-8AD0-9154-7C4D-63275BD74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5621000"/>
          <a:ext cx="3677163" cy="342947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5</xdr:col>
      <xdr:colOff>362001</xdr:colOff>
      <xdr:row>99</xdr:row>
      <xdr:rowOff>162400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B067CC9D-A334-4038-31D2-C63B48CAA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10000" y="15621000"/>
          <a:ext cx="362001" cy="3400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10</xdr:col>
      <xdr:colOff>544064</xdr:colOff>
      <xdr:row>119</xdr:row>
      <xdr:rowOff>86216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C60B02C3-EC05-727F-5156-2FA3B6DB9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9240500"/>
          <a:ext cx="8164064" cy="35152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</xdr:row>
      <xdr:rowOff>9525</xdr:rowOff>
    </xdr:from>
    <xdr:to>
      <xdr:col>12</xdr:col>
      <xdr:colOff>687172</xdr:colOff>
      <xdr:row>139</xdr:row>
      <xdr:rowOff>57635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E1C9F127-0527-BED1-9C03-5E56227AB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23060025"/>
          <a:ext cx="9831172" cy="34771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12</xdr:col>
      <xdr:colOff>48908</xdr:colOff>
      <xdr:row>159</xdr:row>
      <xdr:rowOff>29058</xdr:rowOff>
    </xdr:to>
    <xdr:pic>
      <xdr:nvPicPr>
        <xdr:cNvPr id="15" name="Grafik 14">
          <a:extLst>
            <a:ext uri="{FF2B5EF4-FFF2-40B4-BE49-F238E27FC236}">
              <a16:creationId xmlns:a16="http://schemas.microsoft.com/office/drawing/2014/main" id="{975FDD4C-080D-5745-2F1C-8E04AAE38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26860500"/>
          <a:ext cx="9192908" cy="34580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19</xdr:col>
      <xdr:colOff>97284</xdr:colOff>
      <xdr:row>180</xdr:row>
      <xdr:rowOff>505</xdr:rowOff>
    </xdr:to>
    <xdr:pic>
      <xdr:nvPicPr>
        <xdr:cNvPr id="16" name="Grafik 15">
          <a:extLst>
            <a:ext uri="{FF2B5EF4-FFF2-40B4-BE49-F238E27FC236}">
              <a16:creationId xmlns:a16="http://schemas.microsoft.com/office/drawing/2014/main" id="{33186E1E-9DF6-00DD-6BBD-AD92BD7C6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30670500"/>
          <a:ext cx="14575284" cy="3620005"/>
        </a:xfrm>
        <a:prstGeom prst="rect">
          <a:avLst/>
        </a:prstGeom>
      </xdr:spPr>
    </xdr:pic>
    <xdr:clientData/>
  </xdr:twoCellAnchor>
  <xdr:twoCellAnchor editAs="oneCell">
    <xdr:from>
      <xdr:col>19</xdr:col>
      <xdr:colOff>38100</xdr:colOff>
      <xdr:row>161</xdr:row>
      <xdr:rowOff>28575</xdr:rowOff>
    </xdr:from>
    <xdr:to>
      <xdr:col>20</xdr:col>
      <xdr:colOff>228733</xdr:colOff>
      <xdr:row>179</xdr:row>
      <xdr:rowOff>162422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8D704351-826D-454B-E40D-2EAE543A8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516100" y="30699075"/>
          <a:ext cx="952633" cy="35628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10</xdr:col>
      <xdr:colOff>410696</xdr:colOff>
      <xdr:row>200</xdr:row>
      <xdr:rowOff>38584</xdr:rowOff>
    </xdr:to>
    <xdr:pic>
      <xdr:nvPicPr>
        <xdr:cNvPr id="18" name="Grafik 17">
          <a:extLst>
            <a:ext uri="{FF2B5EF4-FFF2-40B4-BE49-F238E27FC236}">
              <a16:creationId xmlns:a16="http://schemas.microsoft.com/office/drawing/2014/main" id="{9DC50FA5-FDD5-055E-0082-642D9E7E2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34671000"/>
          <a:ext cx="8030696" cy="346758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4</xdr:col>
      <xdr:colOff>29339</xdr:colOff>
      <xdr:row>24</xdr:row>
      <xdr:rowOff>66924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1997C70D-CE0D-3805-2C70-0DA39B1C1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5477639" cy="178142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racey French" id="{D0E4BB78-4B86-4E4F-8959-1E8758439D6F}" userId="S::Tracey.French@steinbeis-europa.de::33828329-9b21-4f0d-806c-6f625ca260f2" providerId="AD"/>
  <person displayName="Stela Djurovic" id="{17B371E0-DAEA-419D-B7C0-8E7EA1880F8C}" userId="S::Stela.Djurovic@steinbeis-europa.de::d5ca4e9f-d6e8-4037-a136-1a6c9a28f506" providerId="AD"/>
</personList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1" dT="2023-09-15T08:37:18.52" personId="{17B371E0-DAEA-419D-B7C0-8E7EA1880F8C}" id="{0CD82DFA-FF41-440D-99D7-24BD42552E4F}">
    <text>Nur für uns, als Info, mit der Spalte T zu vergleichen!</text>
  </threadedComment>
  <threadedComment ref="X1" dT="2023-09-15T08:37:24.54" personId="{17B371E0-DAEA-419D-B7C0-8E7EA1880F8C}" id="{F008D8ED-4147-424B-95A0-9A1DAC5278B7}">
    <text>Nur für uns, als Info, mit der Spalte T zu vergleichen!</text>
  </threadedComment>
  <threadedComment ref="E24" dT="2025-07-09T11:58:00.35" personId="{D0E4BB78-4B86-4E4F-8959-1E8758439D6F}" id="{D64FD3D8-291A-424C-9772-1CB2448E34D2}">
    <text>Goranka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0F12A-61D4-4B87-99AD-F172266F413E}">
  <sheetPr codeName="Tabelle1"/>
  <dimension ref="A1:H24"/>
  <sheetViews>
    <sheetView zoomScale="130" zoomScaleNormal="130" workbookViewId="0">
      <selection activeCell="I21" sqref="I21"/>
    </sheetView>
  </sheetViews>
  <sheetFormatPr baseColWidth="10" defaultColWidth="11.42578125" defaultRowHeight="15" x14ac:dyDescent="0.25"/>
  <cols>
    <col min="1" max="1" width="17" customWidth="1"/>
    <col min="2" max="2" width="17.7109375" customWidth="1"/>
    <col min="3" max="3" width="16.28515625" customWidth="1"/>
    <col min="4" max="4" width="14.85546875" customWidth="1"/>
    <col min="6" max="6" width="4.28515625" customWidth="1"/>
    <col min="8" max="8" width="19.42578125" bestFit="1" customWidth="1"/>
    <col min="9" max="9" width="13.7109375" bestFit="1" customWidth="1"/>
  </cols>
  <sheetData>
    <row r="1" spans="1:5" ht="18.75" x14ac:dyDescent="0.3">
      <c r="A1" s="13" t="s">
        <v>0</v>
      </c>
      <c r="B1" t="s">
        <v>1</v>
      </c>
      <c r="D1" s="16"/>
    </row>
    <row r="2" spans="1:5" ht="18.75" x14ac:dyDescent="0.3">
      <c r="A2" s="13" t="s">
        <v>2</v>
      </c>
      <c r="B2" t="s">
        <v>3</v>
      </c>
      <c r="D2" s="16"/>
    </row>
    <row r="3" spans="1:5" ht="18.75" x14ac:dyDescent="0.3">
      <c r="A3" s="13" t="s">
        <v>4</v>
      </c>
      <c r="B3" s="19">
        <v>45352</v>
      </c>
      <c r="C3" s="19"/>
      <c r="D3" s="16"/>
      <c r="E3" s="11"/>
    </row>
    <row r="4" spans="1:5" ht="18.75" x14ac:dyDescent="0.3">
      <c r="A4" s="13" t="s">
        <v>5</v>
      </c>
      <c r="B4" s="28">
        <v>45900</v>
      </c>
      <c r="C4" s="28"/>
      <c r="D4" s="16"/>
      <c r="E4" s="11"/>
    </row>
    <row r="5" spans="1:5" ht="18.75" x14ac:dyDescent="0.3">
      <c r="A5" s="13" t="s">
        <v>6</v>
      </c>
      <c r="B5" s="19">
        <v>45957</v>
      </c>
      <c r="C5" s="19"/>
      <c r="D5" s="17"/>
      <c r="E5" s="18"/>
    </row>
    <row r="6" spans="1:5" ht="18.75" x14ac:dyDescent="0.3">
      <c r="A6" s="13" t="s">
        <v>7</v>
      </c>
      <c r="B6" t="s">
        <v>8</v>
      </c>
      <c r="D6" s="17"/>
      <c r="E6" s="18"/>
    </row>
    <row r="8" spans="1:5" ht="30" x14ac:dyDescent="0.25">
      <c r="A8" s="91" t="s">
        <v>9</v>
      </c>
      <c r="B8" s="104" t="s">
        <v>10</v>
      </c>
      <c r="C8" s="92" t="s">
        <v>11</v>
      </c>
      <c r="D8" s="92" t="s">
        <v>12</v>
      </c>
      <c r="E8" s="90" t="s">
        <v>13</v>
      </c>
    </row>
    <row r="9" spans="1:5" x14ac:dyDescent="0.25">
      <c r="A9" s="58" t="s">
        <v>14</v>
      </c>
      <c r="B9" s="49">
        <f>'PK-Berechnung'!I12</f>
        <v>1363.5</v>
      </c>
      <c r="C9" s="88">
        <f>'PK-Berechnung'!Z12</f>
        <v>75445.27840418402</v>
      </c>
      <c r="D9" s="89">
        <f>E9/17.917</f>
        <v>9.5440084835630952</v>
      </c>
      <c r="E9" s="105">
        <f>'PK-Berechnung'!P12</f>
        <v>171</v>
      </c>
    </row>
    <row r="10" spans="1:5" x14ac:dyDescent="0.25">
      <c r="A10" s="58" t="s">
        <v>15</v>
      </c>
      <c r="B10" s="49">
        <f>'PK-Berechnung'!J12</f>
        <v>795</v>
      </c>
      <c r="C10" s="88">
        <f>'PK-Berechnung'!AA12</f>
        <v>37500.168352288238</v>
      </c>
      <c r="D10" s="89">
        <f t="shared" ref="D10:D12" si="0">E10/17.917</f>
        <v>5.6091979684098892</v>
      </c>
      <c r="E10" s="105">
        <f>'PK-Berechnung'!Q12</f>
        <v>100.5</v>
      </c>
    </row>
    <row r="11" spans="1:5" x14ac:dyDescent="0.25">
      <c r="A11" s="58" t="s">
        <v>16</v>
      </c>
      <c r="B11" s="49">
        <f>'PK-Berechnung'!K12</f>
        <v>480</v>
      </c>
      <c r="C11" s="88">
        <f>'PK-Berechnung'!AB12</f>
        <v>22064.201972370163</v>
      </c>
      <c r="D11" s="89">
        <f t="shared" si="0"/>
        <v>3.3487749065133667</v>
      </c>
      <c r="E11" s="105">
        <f>'PK-Berechnung'!R12</f>
        <v>60</v>
      </c>
    </row>
    <row r="12" spans="1:5" x14ac:dyDescent="0.25">
      <c r="A12" s="58" t="s">
        <v>17</v>
      </c>
      <c r="B12" s="49">
        <f>'PK-Berechnung'!L12</f>
        <v>132.5</v>
      </c>
      <c r="C12" s="88">
        <f>'PK-Berechnung'!AC12</f>
        <v>11780.815157817759</v>
      </c>
      <c r="D12" s="89">
        <f t="shared" si="0"/>
        <v>0.94881955684545394</v>
      </c>
      <c r="E12" s="105">
        <f>'PK-Berechnung'!S12</f>
        <v>17</v>
      </c>
    </row>
    <row r="13" spans="1:5" hidden="1" x14ac:dyDescent="0.25">
      <c r="A13" s="48"/>
      <c r="B13" s="72"/>
      <c r="C13" s="49"/>
      <c r="D13" s="89">
        <f t="shared" ref="D13:D15" si="1">E13/17.91</f>
        <v>0</v>
      </c>
      <c r="E13" s="52"/>
    </row>
    <row r="14" spans="1:5" hidden="1" x14ac:dyDescent="0.25">
      <c r="A14" s="48"/>
      <c r="B14" s="72"/>
      <c r="C14" s="49"/>
      <c r="D14" s="89">
        <f t="shared" si="1"/>
        <v>0</v>
      </c>
      <c r="E14" s="52"/>
    </row>
    <row r="15" spans="1:5" hidden="1" x14ac:dyDescent="0.25">
      <c r="A15" s="48"/>
      <c r="B15" s="72"/>
      <c r="C15" s="49"/>
      <c r="D15" s="89">
        <f t="shared" si="1"/>
        <v>0</v>
      </c>
      <c r="E15" s="52"/>
    </row>
    <row r="16" spans="1:5" ht="30" x14ac:dyDescent="0.25">
      <c r="A16" s="67" t="s">
        <v>18</v>
      </c>
      <c r="B16" s="107">
        <f>SUM(B9:B15)</f>
        <v>2771</v>
      </c>
      <c r="C16" s="93">
        <f>SUM(C9:C15)</f>
        <v>146790.46388666017</v>
      </c>
      <c r="D16" s="106">
        <f>SUM(D9:D15)</f>
        <v>19.450800915331804</v>
      </c>
      <c r="E16" s="106">
        <f>SUM(E9:E15)</f>
        <v>348.5</v>
      </c>
    </row>
    <row r="17" spans="1:8" x14ac:dyDescent="0.25">
      <c r="A17" s="63"/>
    </row>
    <row r="18" spans="1:8" x14ac:dyDescent="0.25">
      <c r="A18" s="76" t="s">
        <v>19</v>
      </c>
      <c r="B18" s="108" t="s">
        <v>20</v>
      </c>
      <c r="C18" s="77"/>
      <c r="D18" s="78"/>
      <c r="E18" s="77"/>
    </row>
    <row r="20" spans="1:8" x14ac:dyDescent="0.25">
      <c r="B20" s="5"/>
      <c r="D20" s="27"/>
    </row>
    <row r="21" spans="1:8" x14ac:dyDescent="0.25">
      <c r="B21" s="13"/>
      <c r="C21" s="57"/>
    </row>
    <row r="22" spans="1:8" x14ac:dyDescent="0.25">
      <c r="C22" s="9"/>
      <c r="D22" s="9"/>
    </row>
    <row r="23" spans="1:8" x14ac:dyDescent="0.25">
      <c r="A23" s="40" t="s">
        <v>21</v>
      </c>
      <c r="B23" s="40" t="s">
        <v>22</v>
      </c>
      <c r="C23" s="9" t="s">
        <v>119</v>
      </c>
      <c r="D23" s="9"/>
      <c r="E23" s="9"/>
      <c r="F23" s="9"/>
      <c r="G23" s="9"/>
      <c r="H23" s="9"/>
    </row>
    <row r="24" spans="1:8" x14ac:dyDescent="0.25">
      <c r="D24" s="87"/>
    </row>
  </sheetData>
  <phoneticPr fontId="10" type="noConversion"/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D3E6A-0EF6-4F95-8C6E-80DE18EB78E6}">
  <sheetPr codeName="Tabelle2"/>
  <dimension ref="A1:AK57"/>
  <sheetViews>
    <sheetView zoomScale="85" zoomScaleNormal="85" workbookViewId="0">
      <pane xSplit="1" ySplit="1" topLeftCell="B15" activePane="bottomRight" state="frozen"/>
      <selection pane="topRight" activeCell="B1" sqref="B1"/>
      <selection pane="bottomLeft" activeCell="A2" sqref="A2"/>
      <selection pane="bottomRight" activeCell="Z20" sqref="Z20"/>
    </sheetView>
  </sheetViews>
  <sheetFormatPr baseColWidth="10" defaultColWidth="11.42578125" defaultRowHeight="15" x14ac:dyDescent="0.25"/>
  <cols>
    <col min="1" max="1" width="23.5703125" customWidth="1"/>
    <col min="2" max="2" width="19.140625" customWidth="1"/>
    <col min="3" max="3" width="19.42578125" customWidth="1"/>
    <col min="4" max="4" width="14.42578125" customWidth="1"/>
    <col min="5" max="6" width="13.42578125" customWidth="1"/>
    <col min="7" max="8" width="9.5703125" hidden="1" customWidth="1"/>
    <col min="9" max="9" width="9.5703125" customWidth="1"/>
    <col min="10" max="10" width="11.7109375" customWidth="1"/>
    <col min="11" max="11" width="9.5703125" customWidth="1"/>
    <col min="12" max="12" width="13" customWidth="1"/>
    <col min="13" max="13" width="9.5703125" hidden="1" customWidth="1"/>
    <col min="14" max="14" width="9.140625" hidden="1" customWidth="1"/>
    <col min="15" max="15" width="9.85546875" hidden="1" customWidth="1"/>
    <col min="16" max="17" width="11.42578125" customWidth="1"/>
    <col min="18" max="18" width="10.140625" customWidth="1"/>
    <col min="19" max="19" width="11.42578125" bestFit="1" customWidth="1"/>
    <col min="20" max="20" width="11.42578125" hidden="1" customWidth="1"/>
    <col min="21" max="21" width="20.140625" bestFit="1" customWidth="1"/>
    <col min="22" max="22" width="21.85546875" customWidth="1"/>
    <col min="23" max="23" width="13.7109375" hidden="1" customWidth="1"/>
    <col min="24" max="25" width="15" hidden="1" customWidth="1"/>
    <col min="26" max="26" width="14.85546875" customWidth="1"/>
    <col min="27" max="29" width="15" customWidth="1"/>
    <col min="30" max="30" width="15" hidden="1" customWidth="1"/>
    <col min="31" max="31" width="15.42578125" bestFit="1" customWidth="1"/>
    <col min="32" max="32" width="13.140625" customWidth="1"/>
    <col min="34" max="34" width="11.85546875" customWidth="1"/>
    <col min="35" max="35" width="13.42578125" customWidth="1"/>
    <col min="36" max="36" width="16.5703125" customWidth="1"/>
    <col min="37" max="37" width="11.42578125" customWidth="1"/>
  </cols>
  <sheetData>
    <row r="1" spans="1:37" ht="75" customHeight="1" thickBot="1" x14ac:dyDescent="0.3">
      <c r="A1" s="1" t="s">
        <v>23</v>
      </c>
      <c r="B1" s="7" t="s">
        <v>24</v>
      </c>
      <c r="C1" s="7" t="s">
        <v>25</v>
      </c>
      <c r="D1" s="2" t="s">
        <v>26</v>
      </c>
      <c r="E1" s="2" t="s">
        <v>27</v>
      </c>
      <c r="F1" s="2" t="s">
        <v>28</v>
      </c>
      <c r="G1" s="33" t="s">
        <v>29</v>
      </c>
      <c r="H1" s="33" t="s">
        <v>30</v>
      </c>
      <c r="I1" s="33" t="s">
        <v>31</v>
      </c>
      <c r="J1" s="33" t="s">
        <v>32</v>
      </c>
      <c r="K1" s="33" t="s">
        <v>33</v>
      </c>
      <c r="L1" s="33" t="s">
        <v>34</v>
      </c>
      <c r="M1" s="33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2" t="s">
        <v>43</v>
      </c>
      <c r="V1" s="4" t="s">
        <v>44</v>
      </c>
      <c r="W1" s="95" t="s">
        <v>45</v>
      </c>
      <c r="X1" s="95" t="s">
        <v>46</v>
      </c>
      <c r="Y1" s="39" t="s">
        <v>47</v>
      </c>
      <c r="Z1" s="39" t="s">
        <v>48</v>
      </c>
      <c r="AA1" s="39" t="s">
        <v>49</v>
      </c>
      <c r="AB1" s="39" t="s">
        <v>50</v>
      </c>
      <c r="AC1" s="39" t="s">
        <v>51</v>
      </c>
      <c r="AD1" s="39" t="s">
        <v>52</v>
      </c>
      <c r="AE1" s="39" t="s">
        <v>53</v>
      </c>
      <c r="AH1" s="41" t="s">
        <v>54</v>
      </c>
      <c r="AI1" s="42" t="s">
        <v>55</v>
      </c>
      <c r="AJ1" s="43" t="s">
        <v>56</v>
      </c>
      <c r="AK1" s="44" t="s">
        <v>57</v>
      </c>
    </row>
    <row r="2" spans="1:37" ht="16.5" thickTop="1" thickBot="1" x14ac:dyDescent="0.3">
      <c r="A2" s="82" t="s">
        <v>58</v>
      </c>
      <c r="B2" s="11"/>
      <c r="C2" s="11">
        <v>0.75</v>
      </c>
      <c r="D2" s="11">
        <v>18</v>
      </c>
      <c r="E2" s="62">
        <f>(215/12)*D2*C2</f>
        <v>241.875</v>
      </c>
      <c r="F2" s="85">
        <v>242</v>
      </c>
      <c r="G2" s="11"/>
      <c r="H2" s="11"/>
      <c r="I2" s="11"/>
      <c r="J2" s="11">
        <v>80</v>
      </c>
      <c r="K2" s="62"/>
      <c r="L2" s="11"/>
      <c r="M2" s="11"/>
      <c r="P2" s="30">
        <f>ROUND(+I2/8*2,0.5)/2</f>
        <v>0</v>
      </c>
      <c r="Q2" s="30">
        <f>ROUND(+J2/8*2,0.5)/2</f>
        <v>10</v>
      </c>
      <c r="R2" s="30">
        <f t="shared" ref="R2:T2" si="0">ROUND(+K2/8*2,0.5)/2</f>
        <v>0</v>
      </c>
      <c r="S2" s="30">
        <f t="shared" si="0"/>
        <v>0</v>
      </c>
      <c r="T2" s="30">
        <f t="shared" si="0"/>
        <v>0</v>
      </c>
      <c r="U2" s="54">
        <f>Gehälter!S10/F2</f>
        <v>410.29322314049585</v>
      </c>
      <c r="V2" s="56">
        <f>(P2*U2)+(U2*Q2)+(U2*R2)+(U2*S2)+(U2*T2)</f>
        <v>4102.9322314049587</v>
      </c>
      <c r="W2" s="96">
        <v>4320</v>
      </c>
      <c r="X2" s="97">
        <v>4484.9332188841208</v>
      </c>
      <c r="Y2" s="12">
        <f>+$U$2*O2</f>
        <v>0</v>
      </c>
      <c r="Z2" s="12">
        <f>U2*P2</f>
        <v>0</v>
      </c>
      <c r="AA2" s="12">
        <f>U2*Q2</f>
        <v>4102.9322314049587</v>
      </c>
      <c r="AB2" s="12">
        <f>U2*R2</f>
        <v>0</v>
      </c>
      <c r="AC2" s="12">
        <f>U2*S2</f>
        <v>0</v>
      </c>
      <c r="AD2" s="12"/>
      <c r="AE2" s="12">
        <f>SUM(Z2:AC2)</f>
        <v>4102.9322314049587</v>
      </c>
      <c r="AH2" s="45">
        <f>V2-X2</f>
        <v>-382.00098747916218</v>
      </c>
      <c r="AI2" s="12">
        <f>U2/8</f>
        <v>51.286652892561982</v>
      </c>
      <c r="AJ2" s="124">
        <v>56.061665236051496</v>
      </c>
      <c r="AK2" s="46">
        <f>AI2-AJ2</f>
        <v>-4.7750123434895144</v>
      </c>
    </row>
    <row r="3" spans="1:37" ht="16.5" thickTop="1" thickBot="1" x14ac:dyDescent="0.3">
      <c r="A3" s="82" t="s">
        <v>59</v>
      </c>
      <c r="B3" s="11">
        <v>1</v>
      </c>
      <c r="C3" s="61"/>
      <c r="D3" s="59">
        <v>14</v>
      </c>
      <c r="E3" s="62">
        <f>(215/12)*D3*B3</f>
        <v>250.83333333333334</v>
      </c>
      <c r="F3" s="85">
        <v>251</v>
      </c>
      <c r="G3" s="11"/>
      <c r="H3" s="11"/>
      <c r="I3" s="11">
        <v>80</v>
      </c>
      <c r="J3" s="11">
        <v>50</v>
      </c>
      <c r="K3" s="11"/>
      <c r="L3" s="11"/>
      <c r="M3" s="11"/>
      <c r="P3" s="30">
        <f t="shared" ref="P3:P11" si="1">ROUND(+I3/8*2,0.5)/2</f>
        <v>10</v>
      </c>
      <c r="Q3" s="30">
        <f t="shared" ref="Q3:Q11" si="2">ROUND(+J3/8*2,0.5)/2</f>
        <v>6.5</v>
      </c>
      <c r="R3" s="30">
        <f t="shared" ref="R3:R11" si="3">ROUND(+K3/8*2,0.5)/2</f>
        <v>0</v>
      </c>
      <c r="S3" s="30">
        <f t="shared" ref="S3:S11" si="4">ROUND(+L3/8*2,0.5)/2</f>
        <v>0</v>
      </c>
      <c r="T3" s="30">
        <f t="shared" ref="T3:T11" si="5">ROUND(+M3/8*2,0.5)/2</f>
        <v>0</v>
      </c>
      <c r="U3" s="54">
        <f>Gehälter!S11/F3</f>
        <v>440.56689243027887</v>
      </c>
      <c r="V3" s="56">
        <f t="shared" ref="V3:V11" si="6">(P3*U3)+(U3*Q3)+(U3*R3)+(U3*S3)+(U3*T3)</f>
        <v>7269.3537250996014</v>
      </c>
      <c r="W3" s="96">
        <v>7331.0599999999995</v>
      </c>
      <c r="X3" s="97">
        <v>7666.4866156202152</v>
      </c>
      <c r="Y3" s="12">
        <f>+$U$3*O3</f>
        <v>0</v>
      </c>
      <c r="Z3" s="12">
        <f t="shared" ref="Z3:Z11" si="7">U3*P3</f>
        <v>4405.6689243027886</v>
      </c>
      <c r="AA3" s="12">
        <f t="shared" ref="AA3:AA11" si="8">U3*Q3</f>
        <v>2863.6848007968129</v>
      </c>
      <c r="AB3" s="12">
        <f t="shared" ref="AB3:AB11" si="9">U3*R3</f>
        <v>0</v>
      </c>
      <c r="AC3" s="12">
        <f t="shared" ref="AC3:AC11" si="10">U3*S3</f>
        <v>0</v>
      </c>
      <c r="AD3" s="12"/>
      <c r="AE3" s="12">
        <f t="shared" ref="AE3:AE11" si="11">SUM(Z3:AC3)</f>
        <v>7269.3537250996014</v>
      </c>
      <c r="AH3" s="45">
        <f t="shared" ref="AH3:AH11" si="12">V3-X3</f>
        <v>-397.13289052061373</v>
      </c>
      <c r="AI3" s="12">
        <f t="shared" ref="AI3:AI10" si="13">U3/8</f>
        <v>55.070861553784859</v>
      </c>
      <c r="AJ3" s="124">
        <v>58.972973966309347</v>
      </c>
      <c r="AK3" s="46">
        <f t="shared" ref="AK3:AK11" si="14">AI3-AJ3</f>
        <v>-3.9021124125244881</v>
      </c>
    </row>
    <row r="4" spans="1:37" ht="16.5" thickTop="1" thickBot="1" x14ac:dyDescent="0.3">
      <c r="A4" s="82" t="s">
        <v>60</v>
      </c>
      <c r="B4" s="11"/>
      <c r="C4" s="61">
        <v>0.75</v>
      </c>
      <c r="D4" s="59">
        <v>18</v>
      </c>
      <c r="E4" s="62">
        <f>(215/12)*D4*C4</f>
        <v>241.875</v>
      </c>
      <c r="F4" s="61">
        <v>242</v>
      </c>
      <c r="G4" s="11"/>
      <c r="H4" s="11"/>
      <c r="I4" s="11">
        <v>169.5</v>
      </c>
      <c r="J4" s="11">
        <v>50</v>
      </c>
      <c r="K4" s="11">
        <v>65</v>
      </c>
      <c r="L4" s="11"/>
      <c r="M4" s="11"/>
      <c r="P4" s="30">
        <f t="shared" si="1"/>
        <v>21</v>
      </c>
      <c r="Q4" s="30">
        <f t="shared" si="2"/>
        <v>6.5</v>
      </c>
      <c r="R4" s="30">
        <f t="shared" si="3"/>
        <v>8</v>
      </c>
      <c r="S4" s="30">
        <f t="shared" si="4"/>
        <v>0</v>
      </c>
      <c r="T4" s="30">
        <f t="shared" si="5"/>
        <v>0</v>
      </c>
      <c r="U4" s="54">
        <f>Gehälter!S12/F4</f>
        <v>438.12334710743806</v>
      </c>
      <c r="V4" s="56">
        <f t="shared" si="6"/>
        <v>15553.378822314051</v>
      </c>
      <c r="W4" s="96">
        <v>17308.530000000002</v>
      </c>
      <c r="X4" s="97">
        <v>14497.461724432667</v>
      </c>
      <c r="Y4" s="12"/>
      <c r="Z4" s="12">
        <f t="shared" si="7"/>
        <v>9200.590289256199</v>
      </c>
      <c r="AA4" s="12">
        <f t="shared" si="8"/>
        <v>2847.8017561983474</v>
      </c>
      <c r="AB4" s="12">
        <f t="shared" si="9"/>
        <v>3504.9867768595045</v>
      </c>
      <c r="AC4" s="12">
        <f t="shared" si="10"/>
        <v>0</v>
      </c>
      <c r="AD4" s="12"/>
      <c r="AE4" s="12">
        <f t="shared" si="11"/>
        <v>15553.378822314051</v>
      </c>
      <c r="AH4" s="45">
        <f t="shared" si="12"/>
        <v>1055.9170978813836</v>
      </c>
      <c r="AI4" s="12">
        <f t="shared" si="13"/>
        <v>54.765418388429758</v>
      </c>
      <c r="AJ4" s="124">
        <v>44.327878440366966</v>
      </c>
      <c r="AK4" s="46">
        <f t="shared" si="14"/>
        <v>10.437539948062792</v>
      </c>
    </row>
    <row r="5" spans="1:37" ht="16.5" thickTop="1" thickBot="1" x14ac:dyDescent="0.3">
      <c r="A5" s="82" t="s">
        <v>61</v>
      </c>
      <c r="B5" s="11">
        <v>1</v>
      </c>
      <c r="C5" s="11"/>
      <c r="D5" s="11">
        <v>18</v>
      </c>
      <c r="E5" s="62">
        <f>(215/12)*D5*B5-24</f>
        <v>298.5</v>
      </c>
      <c r="F5" s="85">
        <v>298.5</v>
      </c>
      <c r="G5" s="11"/>
      <c r="H5" s="11"/>
      <c r="I5" s="11">
        <v>148</v>
      </c>
      <c r="J5" s="11"/>
      <c r="K5" s="11">
        <v>75</v>
      </c>
      <c r="L5" s="11"/>
      <c r="M5" s="11"/>
      <c r="P5" s="30">
        <f t="shared" si="1"/>
        <v>18.5</v>
      </c>
      <c r="Q5" s="30">
        <f t="shared" si="2"/>
        <v>0</v>
      </c>
      <c r="R5" s="30">
        <f t="shared" si="3"/>
        <v>9.5</v>
      </c>
      <c r="S5" s="30">
        <f t="shared" si="4"/>
        <v>0</v>
      </c>
      <c r="T5" s="30">
        <f t="shared" si="5"/>
        <v>0</v>
      </c>
      <c r="U5" s="54">
        <f>Gehälter!S13/F5</f>
        <v>437.25028475711895</v>
      </c>
      <c r="V5" s="56">
        <f t="shared" si="6"/>
        <v>12243.00797319933</v>
      </c>
      <c r="W5" s="96">
        <v>12755.93</v>
      </c>
      <c r="X5" s="97">
        <v>12948.35950632912</v>
      </c>
      <c r="Y5" s="12"/>
      <c r="Z5" s="12">
        <f t="shared" si="7"/>
        <v>8089.1302680067001</v>
      </c>
      <c r="AA5" s="12">
        <f t="shared" si="8"/>
        <v>0</v>
      </c>
      <c r="AB5" s="12">
        <f t="shared" si="9"/>
        <v>4153.8777051926299</v>
      </c>
      <c r="AC5" s="12">
        <f t="shared" si="10"/>
        <v>0</v>
      </c>
      <c r="AD5" s="12"/>
      <c r="AE5" s="12">
        <f t="shared" si="11"/>
        <v>12243.00797319933</v>
      </c>
      <c r="AH5" s="45">
        <f t="shared" si="12"/>
        <v>-705.35153312978946</v>
      </c>
      <c r="AI5" s="12">
        <f t="shared" si="13"/>
        <v>54.656285594639868</v>
      </c>
      <c r="AJ5" s="124">
        <v>58.064392405063295</v>
      </c>
      <c r="AK5" s="46">
        <f t="shared" si="14"/>
        <v>-3.4081068104234262</v>
      </c>
    </row>
    <row r="6" spans="1:37" ht="16.5" thickTop="1" thickBot="1" x14ac:dyDescent="0.3">
      <c r="A6" s="82" t="s">
        <v>62</v>
      </c>
      <c r="B6" s="11">
        <v>1</v>
      </c>
      <c r="C6" s="47"/>
      <c r="D6" s="11">
        <v>18</v>
      </c>
      <c r="E6" s="62">
        <f>(215/12)*D6*B6</f>
        <v>322.5</v>
      </c>
      <c r="F6" s="85">
        <v>322.5</v>
      </c>
      <c r="G6" s="11"/>
      <c r="H6" s="11"/>
      <c r="I6" s="11">
        <v>155</v>
      </c>
      <c r="J6" s="11">
        <v>50</v>
      </c>
      <c r="K6" s="11"/>
      <c r="L6" s="11"/>
      <c r="M6" s="11"/>
      <c r="P6" s="30">
        <f t="shared" si="1"/>
        <v>19.5</v>
      </c>
      <c r="Q6" s="30">
        <f t="shared" si="2"/>
        <v>6.5</v>
      </c>
      <c r="R6" s="30">
        <f t="shared" si="3"/>
        <v>0</v>
      </c>
      <c r="S6" s="30">
        <f t="shared" si="4"/>
        <v>0</v>
      </c>
      <c r="T6" s="30">
        <f t="shared" si="5"/>
        <v>0</v>
      </c>
      <c r="U6" s="54">
        <f>Gehälter!S14/F6</f>
        <v>686.59181395348833</v>
      </c>
      <c r="V6" s="56">
        <f t="shared" si="6"/>
        <v>17851.387162790696</v>
      </c>
      <c r="W6" s="96">
        <v>18982.229999999996</v>
      </c>
      <c r="X6" s="97">
        <v>18089.797967000581</v>
      </c>
      <c r="Y6" s="12">
        <f>+$U$6*O6</f>
        <v>0</v>
      </c>
      <c r="Z6" s="12">
        <f t="shared" si="7"/>
        <v>13388.540372093023</v>
      </c>
      <c r="AA6" s="12">
        <f t="shared" si="8"/>
        <v>4462.8467906976739</v>
      </c>
      <c r="AB6" s="12">
        <f t="shared" si="9"/>
        <v>0</v>
      </c>
      <c r="AC6" s="12">
        <f t="shared" si="10"/>
        <v>0</v>
      </c>
      <c r="AD6" s="12"/>
      <c r="AE6" s="12">
        <f t="shared" si="11"/>
        <v>17851.387162790696</v>
      </c>
      <c r="AH6" s="45">
        <f t="shared" si="12"/>
        <v>-238.4108042098851</v>
      </c>
      <c r="AI6" s="12">
        <f t="shared" si="13"/>
        <v>85.823976744186041</v>
      </c>
      <c r="AJ6" s="124">
        <v>88.242916912197984</v>
      </c>
      <c r="AK6" s="46">
        <f t="shared" si="14"/>
        <v>-2.4189401680119431</v>
      </c>
    </row>
    <row r="7" spans="1:37" ht="16.5" thickTop="1" thickBot="1" x14ac:dyDescent="0.3">
      <c r="A7" s="82" t="s">
        <v>63</v>
      </c>
      <c r="B7" s="11"/>
      <c r="C7" s="11">
        <v>0.625</v>
      </c>
      <c r="D7" s="11">
        <v>2</v>
      </c>
      <c r="E7" s="62">
        <f>(215/12)*D7*C7</f>
        <v>22.395833333333336</v>
      </c>
      <c r="F7" s="85">
        <v>22.5</v>
      </c>
      <c r="G7" s="11"/>
      <c r="H7" s="11"/>
      <c r="I7" s="11"/>
      <c r="J7" s="11"/>
      <c r="K7" s="11"/>
      <c r="L7" s="11">
        <v>42</v>
      </c>
      <c r="M7" s="11"/>
      <c r="P7" s="30">
        <f t="shared" si="1"/>
        <v>0</v>
      </c>
      <c r="Q7" s="30">
        <f t="shared" si="2"/>
        <v>0</v>
      </c>
      <c r="R7" s="30">
        <f t="shared" si="3"/>
        <v>0</v>
      </c>
      <c r="S7" s="30">
        <f t="shared" si="4"/>
        <v>5.5</v>
      </c>
      <c r="T7" s="30">
        <f t="shared" si="5"/>
        <v>0</v>
      </c>
      <c r="U7" s="54">
        <f>Gehälter!S15/F7</f>
        <v>478.50844444444448</v>
      </c>
      <c r="V7" s="56">
        <f t="shared" si="6"/>
        <v>2631.7964444444447</v>
      </c>
      <c r="W7" s="96">
        <v>2705.48</v>
      </c>
      <c r="X7" s="97">
        <v>2705.4822884770351</v>
      </c>
      <c r="Y7" s="12"/>
      <c r="Z7" s="12">
        <f t="shared" si="7"/>
        <v>0</v>
      </c>
      <c r="AA7" s="12">
        <f t="shared" si="8"/>
        <v>0</v>
      </c>
      <c r="AB7" s="12">
        <f t="shared" si="9"/>
        <v>0</v>
      </c>
      <c r="AC7" s="12">
        <f t="shared" si="10"/>
        <v>2631.7964444444447</v>
      </c>
      <c r="AD7" s="12"/>
      <c r="AE7" s="12">
        <f t="shared" si="11"/>
        <v>2631.7964444444447</v>
      </c>
      <c r="AH7" s="45">
        <f t="shared" si="12"/>
        <v>-73.685844032590467</v>
      </c>
      <c r="AI7" s="12">
        <f t="shared" si="13"/>
        <v>59.81355555555556</v>
      </c>
      <c r="AJ7" s="124">
        <v>64.416244963738919</v>
      </c>
      <c r="AK7" s="46">
        <f t="shared" si="14"/>
        <v>-4.6026894081833589</v>
      </c>
    </row>
    <row r="8" spans="1:37" ht="16.5" thickTop="1" thickBot="1" x14ac:dyDescent="0.3">
      <c r="A8" s="82" t="s">
        <v>64</v>
      </c>
      <c r="B8" s="11">
        <v>1</v>
      </c>
      <c r="C8" s="47"/>
      <c r="D8" s="11">
        <v>18</v>
      </c>
      <c r="E8" s="62">
        <f>(215/12)*D8*B8</f>
        <v>322.5</v>
      </c>
      <c r="F8" s="85">
        <v>322.5</v>
      </c>
      <c r="G8" s="11"/>
      <c r="H8" s="11"/>
      <c r="I8" s="11">
        <v>50</v>
      </c>
      <c r="J8" s="11"/>
      <c r="K8" s="11"/>
      <c r="L8" s="11">
        <v>64</v>
      </c>
      <c r="M8" s="11"/>
      <c r="P8" s="30">
        <f t="shared" si="1"/>
        <v>6.5</v>
      </c>
      <c r="Q8" s="30">
        <f t="shared" si="2"/>
        <v>0</v>
      </c>
      <c r="R8" s="30">
        <f t="shared" si="3"/>
        <v>0</v>
      </c>
      <c r="S8" s="30">
        <f t="shared" si="4"/>
        <v>8</v>
      </c>
      <c r="T8" s="30">
        <f t="shared" si="5"/>
        <v>0</v>
      </c>
      <c r="U8" s="54">
        <f>Gehälter!S16/F8</f>
        <v>976.64155038759702</v>
      </c>
      <c r="V8" s="56">
        <f t="shared" si="6"/>
        <v>14161.302480620157</v>
      </c>
      <c r="W8" s="96">
        <v>5918.5099999999975</v>
      </c>
      <c r="X8" s="97">
        <v>5918.5661310259566</v>
      </c>
      <c r="Y8" s="12"/>
      <c r="Z8" s="12">
        <f t="shared" si="7"/>
        <v>6348.1700775193804</v>
      </c>
      <c r="AA8" s="12">
        <f t="shared" si="8"/>
        <v>0</v>
      </c>
      <c r="AB8" s="12">
        <f t="shared" si="9"/>
        <v>0</v>
      </c>
      <c r="AC8" s="12">
        <f t="shared" si="10"/>
        <v>7813.1324031007762</v>
      </c>
      <c r="AD8" s="12"/>
      <c r="AE8" s="12">
        <f t="shared" si="11"/>
        <v>14161.302480620157</v>
      </c>
      <c r="AH8" s="45">
        <f t="shared" si="12"/>
        <v>8242.7363495942009</v>
      </c>
      <c r="AI8" s="12">
        <f t="shared" si="13"/>
        <v>122.08019379844963</v>
      </c>
      <c r="AJ8" s="124">
        <v>118.37132262051917</v>
      </c>
      <c r="AK8" s="46">
        <f t="shared" si="14"/>
        <v>3.7088711779304617</v>
      </c>
    </row>
    <row r="9" spans="1:37" ht="16.5" thickTop="1" thickBot="1" x14ac:dyDescent="0.3">
      <c r="A9" s="82" t="s">
        <v>65</v>
      </c>
      <c r="B9" s="11"/>
      <c r="C9" s="47" t="s">
        <v>66</v>
      </c>
      <c r="D9" s="11">
        <v>18</v>
      </c>
      <c r="E9" s="62">
        <f>(215/12)*11*0.7+(215/12)*7*0.8</f>
        <v>238.29166666666669</v>
      </c>
      <c r="F9" s="85">
        <v>238.5</v>
      </c>
      <c r="G9" s="11"/>
      <c r="H9" s="11"/>
      <c r="I9" s="11">
        <v>354</v>
      </c>
      <c r="J9" s="11">
        <v>175</v>
      </c>
      <c r="K9" s="11">
        <v>140</v>
      </c>
      <c r="L9" s="11">
        <v>26.5</v>
      </c>
      <c r="M9" s="11"/>
      <c r="P9" s="30">
        <f t="shared" si="1"/>
        <v>44.5</v>
      </c>
      <c r="Q9" s="30">
        <f t="shared" si="2"/>
        <v>22</v>
      </c>
      <c r="R9" s="30">
        <f t="shared" si="3"/>
        <v>17.5</v>
      </c>
      <c r="S9" s="30">
        <f t="shared" si="4"/>
        <v>3.5</v>
      </c>
      <c r="T9" s="30">
        <f t="shared" si="5"/>
        <v>0</v>
      </c>
      <c r="U9" s="54">
        <f>Gehälter!S17/F9</f>
        <v>381.68180293501047</v>
      </c>
      <c r="V9" s="56">
        <f t="shared" si="6"/>
        <v>33397.157756813416</v>
      </c>
      <c r="W9" s="96">
        <v>33973.86</v>
      </c>
      <c r="X9" s="97">
        <v>33904.891350211052</v>
      </c>
      <c r="Y9" s="12"/>
      <c r="Z9" s="12">
        <f t="shared" si="7"/>
        <v>16984.840230607966</v>
      </c>
      <c r="AA9" s="12">
        <f t="shared" si="8"/>
        <v>8396.9996645702304</v>
      </c>
      <c r="AB9" s="12">
        <f t="shared" si="9"/>
        <v>6679.4315513626834</v>
      </c>
      <c r="AC9" s="12">
        <f t="shared" si="10"/>
        <v>1335.8863102725365</v>
      </c>
      <c r="AD9" s="12"/>
      <c r="AE9" s="12">
        <f t="shared" si="11"/>
        <v>33397.157756813416</v>
      </c>
      <c r="AH9" s="45">
        <f t="shared" si="12"/>
        <v>-507.73359339763556</v>
      </c>
      <c r="AI9" s="12">
        <f t="shared" si="13"/>
        <v>47.710225366876308</v>
      </c>
      <c r="AJ9" s="124">
        <v>48.748945147679322</v>
      </c>
      <c r="AK9" s="46">
        <f t="shared" si="14"/>
        <v>-1.0387197808030137</v>
      </c>
    </row>
    <row r="10" spans="1:37" ht="16.5" thickTop="1" thickBot="1" x14ac:dyDescent="0.3">
      <c r="A10" s="82" t="s">
        <v>67</v>
      </c>
      <c r="B10" s="11"/>
      <c r="C10" s="11">
        <v>0.75</v>
      </c>
      <c r="D10" s="11">
        <v>7</v>
      </c>
      <c r="E10" s="62">
        <f>(215/12)*D10*C10</f>
        <v>94.0625</v>
      </c>
      <c r="F10" s="85">
        <v>94</v>
      </c>
      <c r="G10" s="11"/>
      <c r="H10" s="11"/>
      <c r="I10" s="11">
        <v>107</v>
      </c>
      <c r="J10" s="11">
        <v>220</v>
      </c>
      <c r="K10" s="11">
        <v>100</v>
      </c>
      <c r="L10" s="11"/>
      <c r="M10" s="11"/>
      <c r="P10" s="30">
        <f t="shared" si="1"/>
        <v>13.5</v>
      </c>
      <c r="Q10" s="30">
        <f t="shared" si="2"/>
        <v>27.5</v>
      </c>
      <c r="R10" s="30">
        <f t="shared" si="3"/>
        <v>12.5</v>
      </c>
      <c r="S10" s="30">
        <f t="shared" si="4"/>
        <v>0</v>
      </c>
      <c r="T10" s="30">
        <f t="shared" si="5"/>
        <v>0</v>
      </c>
      <c r="U10" s="54">
        <f>Gehälter!S18/F10</f>
        <v>256.2241489361702</v>
      </c>
      <c r="V10" s="56">
        <f t="shared" si="6"/>
        <v>13707.991968085107</v>
      </c>
      <c r="W10" s="96">
        <v>13941.989999999949</v>
      </c>
      <c r="X10" s="97">
        <v>13715.960732484102</v>
      </c>
      <c r="Y10" s="12">
        <f>+$U$10*O10</f>
        <v>0</v>
      </c>
      <c r="Z10" s="12">
        <f t="shared" si="7"/>
        <v>3459.0260106382975</v>
      </c>
      <c r="AA10" s="12">
        <f t="shared" si="8"/>
        <v>7046.1640957446807</v>
      </c>
      <c r="AB10" s="12">
        <f t="shared" si="9"/>
        <v>3202.8018617021276</v>
      </c>
      <c r="AC10" s="12">
        <f t="shared" si="10"/>
        <v>0</v>
      </c>
      <c r="AD10" s="12"/>
      <c r="AE10" s="12">
        <f t="shared" si="11"/>
        <v>13707.991968085107</v>
      </c>
      <c r="AH10" s="45">
        <f t="shared" si="12"/>
        <v>-7.9687643989946082</v>
      </c>
      <c r="AI10" s="12">
        <f t="shared" si="13"/>
        <v>32.028018617021274</v>
      </c>
      <c r="AJ10" s="124">
        <v>32.121687898089171</v>
      </c>
      <c r="AK10" s="46">
        <f t="shared" si="14"/>
        <v>-9.3669281067896293E-2</v>
      </c>
    </row>
    <row r="11" spans="1:37" ht="16.5" thickTop="1" thickBot="1" x14ac:dyDescent="0.3">
      <c r="A11" s="82" t="s">
        <v>68</v>
      </c>
      <c r="B11" s="11">
        <v>1</v>
      </c>
      <c r="C11" s="83"/>
      <c r="D11" s="11">
        <v>13</v>
      </c>
      <c r="E11" s="62">
        <f>(215/12)*D11*B11</f>
        <v>232.91666666666669</v>
      </c>
      <c r="F11" s="85">
        <v>233</v>
      </c>
      <c r="G11" s="11"/>
      <c r="H11" s="11"/>
      <c r="I11" s="11">
        <v>300</v>
      </c>
      <c r="J11" s="11">
        <v>170</v>
      </c>
      <c r="K11" s="11">
        <v>100</v>
      </c>
      <c r="L11" s="11"/>
      <c r="M11" s="11"/>
      <c r="P11" s="30">
        <f t="shared" si="1"/>
        <v>37.5</v>
      </c>
      <c r="Q11" s="30">
        <f t="shared" si="2"/>
        <v>21.5</v>
      </c>
      <c r="R11" s="30">
        <f t="shared" si="3"/>
        <v>12.5</v>
      </c>
      <c r="S11" s="30">
        <f t="shared" si="4"/>
        <v>0</v>
      </c>
      <c r="T11" s="30">
        <f t="shared" si="5"/>
        <v>0</v>
      </c>
      <c r="U11" s="54">
        <f>Gehälter!S19/F11</f>
        <v>361.84832618025752</v>
      </c>
      <c r="V11" s="56">
        <f t="shared" si="6"/>
        <v>25872.155321888411</v>
      </c>
      <c r="W11" s="96">
        <v>25266.920000000002</v>
      </c>
      <c r="X11" s="97">
        <v>25266.890711009171</v>
      </c>
      <c r="Y11" s="12">
        <f>+$U$11*O11</f>
        <v>0</v>
      </c>
      <c r="Z11" s="12">
        <f t="shared" si="7"/>
        <v>13569.312231759657</v>
      </c>
      <c r="AA11" s="12">
        <f t="shared" si="8"/>
        <v>7779.7390128755369</v>
      </c>
      <c r="AB11" s="12">
        <f t="shared" si="9"/>
        <v>4523.1040772532187</v>
      </c>
      <c r="AC11" s="12">
        <f t="shared" si="10"/>
        <v>0</v>
      </c>
      <c r="AD11" s="12"/>
      <c r="AE11" s="12">
        <f t="shared" si="11"/>
        <v>25872.155321888411</v>
      </c>
      <c r="AH11" s="121">
        <f t="shared" si="12"/>
        <v>605.26461087923963</v>
      </c>
      <c r="AI11" s="122">
        <f>U11/8</f>
        <v>45.231040772532189</v>
      </c>
      <c r="AJ11" s="125">
        <v>44.327878440366966</v>
      </c>
      <c r="AK11" s="123">
        <f t="shared" si="14"/>
        <v>0.90316233216522335</v>
      </c>
    </row>
    <row r="12" spans="1:37" ht="15.75" thickBot="1" x14ac:dyDescent="0.3">
      <c r="A12" s="6" t="s">
        <v>69</v>
      </c>
      <c r="B12" s="7"/>
      <c r="C12" s="7"/>
      <c r="D12" s="7"/>
      <c r="E12" s="8"/>
      <c r="F12" s="26"/>
      <c r="G12" s="50">
        <f t="shared" ref="G12:M12" si="15">SUM(G2:G11)</f>
        <v>0</v>
      </c>
      <c r="H12" s="50">
        <f t="shared" si="15"/>
        <v>0</v>
      </c>
      <c r="I12" s="50">
        <f t="shared" si="15"/>
        <v>1363.5</v>
      </c>
      <c r="J12" s="50">
        <f t="shared" si="15"/>
        <v>795</v>
      </c>
      <c r="K12" s="50">
        <f t="shared" si="15"/>
        <v>480</v>
      </c>
      <c r="L12" s="50">
        <f t="shared" si="15"/>
        <v>132.5</v>
      </c>
      <c r="M12" s="50">
        <f t="shared" si="15"/>
        <v>0</v>
      </c>
      <c r="N12" s="20"/>
      <c r="O12" s="20">
        <f t="shared" ref="O12:T12" si="16">SUM(O2:O11)</f>
        <v>0</v>
      </c>
      <c r="P12" s="20">
        <f t="shared" si="16"/>
        <v>171</v>
      </c>
      <c r="Q12" s="20">
        <f t="shared" si="16"/>
        <v>100.5</v>
      </c>
      <c r="R12" s="20">
        <f t="shared" si="16"/>
        <v>60</v>
      </c>
      <c r="S12" s="20">
        <f t="shared" si="16"/>
        <v>17</v>
      </c>
      <c r="T12" s="20">
        <f t="shared" si="16"/>
        <v>0</v>
      </c>
      <c r="U12" s="32" t="s">
        <v>70</v>
      </c>
      <c r="V12" s="55">
        <f t="shared" ref="V12:Y12" si="17">SUM(V2:V11)</f>
        <v>146790.46388666017</v>
      </c>
      <c r="W12" s="98">
        <f t="shared" si="17"/>
        <v>142504.50999999995</v>
      </c>
      <c r="X12" s="98">
        <f t="shared" si="17"/>
        <v>139198.83024547403</v>
      </c>
      <c r="Y12" s="15">
        <f t="shared" si="17"/>
        <v>0</v>
      </c>
      <c r="Z12" s="15">
        <f>SUM(Z2:Z11)</f>
        <v>75445.27840418402</v>
      </c>
      <c r="AA12" s="15">
        <f t="shared" ref="AA12:AC12" si="18">SUM(AA2:AA11)</f>
        <v>37500.168352288238</v>
      </c>
      <c r="AB12" s="15">
        <f t="shared" si="18"/>
        <v>22064.201972370163</v>
      </c>
      <c r="AC12" s="15">
        <f t="shared" si="18"/>
        <v>11780.815157817759</v>
      </c>
      <c r="AD12" s="15">
        <f t="shared" ref="AD12" si="19">SUM(AD2:AD11)</f>
        <v>0</v>
      </c>
      <c r="AE12" s="15">
        <f t="shared" ref="AE12" si="20">SUM(AE2:AE11)</f>
        <v>146790.46388666017</v>
      </c>
      <c r="AF12" s="5"/>
      <c r="AH12" s="12">
        <f>SUM(AH2:AH11)</f>
        <v>7591.633641186153</v>
      </c>
    </row>
    <row r="13" spans="1:37" x14ac:dyDescent="0.25">
      <c r="A13" s="10"/>
      <c r="B13" s="11"/>
      <c r="C13" s="11"/>
      <c r="D13" s="11"/>
      <c r="E13" s="14"/>
      <c r="F13" s="64"/>
      <c r="G13" s="23"/>
      <c r="H13" s="23"/>
      <c r="I13" s="23"/>
      <c r="J13" s="23"/>
      <c r="K13" s="23"/>
      <c r="L13" s="23"/>
      <c r="M13" s="23"/>
      <c r="N13" s="65"/>
      <c r="O13" s="65"/>
      <c r="P13" s="65"/>
      <c r="Q13" s="65"/>
      <c r="R13" s="65"/>
      <c r="S13" s="65"/>
      <c r="T13" s="65"/>
      <c r="V13" s="56"/>
      <c r="W13" s="12"/>
      <c r="X13" s="12"/>
      <c r="Y13" s="27"/>
      <c r="Z13" s="27"/>
      <c r="AA13" s="27"/>
      <c r="AB13" s="27"/>
      <c r="AC13" s="27"/>
      <c r="AD13" s="27"/>
      <c r="AE13" s="27"/>
      <c r="AF13" s="5"/>
    </row>
    <row r="14" spans="1:37" x14ac:dyDescent="0.25">
      <c r="A14" s="10" t="s">
        <v>71</v>
      </c>
      <c r="B14" s="70" t="s">
        <v>72</v>
      </c>
      <c r="C14" s="70" t="s">
        <v>73</v>
      </c>
      <c r="D14" s="70" t="s">
        <v>74</v>
      </c>
      <c r="E14" s="9" t="s">
        <v>75</v>
      </c>
      <c r="F14" s="64"/>
      <c r="G14" s="23"/>
      <c r="H14" s="23"/>
      <c r="I14" s="23"/>
      <c r="J14" s="23"/>
      <c r="K14" s="23"/>
      <c r="L14" s="23"/>
      <c r="M14" s="23"/>
      <c r="N14" s="65"/>
      <c r="O14" s="65"/>
      <c r="P14" s="65"/>
      <c r="Q14" s="65"/>
      <c r="R14" s="65"/>
      <c r="S14" s="65"/>
      <c r="T14" s="65"/>
      <c r="V14" s="56"/>
      <c r="W14" s="12"/>
      <c r="X14" s="12"/>
      <c r="Y14" s="27"/>
      <c r="Z14" s="27"/>
      <c r="AA14" s="27"/>
      <c r="AB14" s="27"/>
      <c r="AC14" s="27"/>
      <c r="AD14" s="27"/>
      <c r="AE14" s="27"/>
      <c r="AF14" s="5"/>
    </row>
    <row r="15" spans="1:37" x14ac:dyDescent="0.25">
      <c r="A15" s="10" t="s">
        <v>76</v>
      </c>
      <c r="B15" s="99">
        <f>+V2+V7+V8</f>
        <v>20896.031156469558</v>
      </c>
      <c r="C15" s="70">
        <f>+V12*0.1</f>
        <v>14679.046388666018</v>
      </c>
      <c r="D15" s="99">
        <f>+C15-B15</f>
        <v>-6216.9847678035403</v>
      </c>
      <c r="E15" s="100">
        <f>+B15/V12</f>
        <v>0.14235278371082605</v>
      </c>
      <c r="F15" s="64"/>
      <c r="G15" s="23"/>
      <c r="H15" s="23"/>
      <c r="I15" s="23"/>
      <c r="J15" s="56"/>
      <c r="K15" s="23"/>
      <c r="L15" s="23"/>
      <c r="M15" s="23"/>
      <c r="N15" s="65"/>
      <c r="O15" s="65"/>
      <c r="P15" s="65"/>
      <c r="Q15" s="65"/>
      <c r="R15" s="65"/>
      <c r="S15" s="65"/>
      <c r="T15" s="65"/>
      <c r="V15" s="56"/>
      <c r="W15" s="12"/>
      <c r="X15" s="12"/>
      <c r="Y15" s="27"/>
      <c r="Z15" s="27"/>
      <c r="AA15" s="27"/>
      <c r="AB15" s="27"/>
      <c r="AC15" s="27"/>
      <c r="AD15" s="27"/>
      <c r="AE15" s="27"/>
      <c r="AF15" s="5"/>
    </row>
    <row r="16" spans="1:37" x14ac:dyDescent="0.25">
      <c r="A16" s="10"/>
      <c r="B16" s="11"/>
      <c r="C16" s="11"/>
      <c r="D16" s="11"/>
      <c r="E16" s="14"/>
      <c r="F16" s="64"/>
      <c r="G16" s="23"/>
      <c r="H16" s="23"/>
      <c r="I16" s="23"/>
      <c r="J16" s="23"/>
      <c r="K16" s="23"/>
      <c r="L16" s="23"/>
      <c r="M16" s="23"/>
      <c r="N16" s="65"/>
      <c r="O16" s="65"/>
      <c r="P16" s="65"/>
      <c r="Q16" s="65"/>
      <c r="R16" s="65"/>
      <c r="S16" s="65"/>
      <c r="T16" s="65"/>
      <c r="V16" s="56"/>
      <c r="W16" s="12"/>
      <c r="X16" s="12"/>
      <c r="Y16" s="27"/>
      <c r="Z16" s="27"/>
      <c r="AA16" s="27"/>
      <c r="AB16" s="27"/>
      <c r="AC16" s="27"/>
      <c r="AD16" s="27"/>
      <c r="AE16" s="27"/>
      <c r="AF16" s="5"/>
    </row>
    <row r="17" spans="1:32" ht="30" x14ac:dyDescent="0.25">
      <c r="A17" s="66" t="s">
        <v>121</v>
      </c>
      <c r="B17" s="102" t="s">
        <v>110</v>
      </c>
      <c r="C17" s="103"/>
      <c r="D17" s="11"/>
      <c r="E17" s="11"/>
      <c r="F17" s="11"/>
      <c r="G17" s="11"/>
      <c r="H17" s="11"/>
      <c r="I17" s="11"/>
      <c r="J17" s="11"/>
      <c r="K17" s="11"/>
      <c r="L17" s="70"/>
      <c r="M17" s="11"/>
      <c r="U17" s="54"/>
      <c r="V17" s="21"/>
      <c r="W17" s="71"/>
      <c r="X17" s="71"/>
      <c r="Y17" s="12"/>
      <c r="Z17" s="12"/>
      <c r="AA17" s="12"/>
      <c r="AB17" s="12"/>
      <c r="AC17" s="12"/>
      <c r="AD17" s="12"/>
      <c r="AE17" s="12"/>
    </row>
    <row r="18" spans="1:32" x14ac:dyDescent="0.25">
      <c r="A18" s="13"/>
      <c r="B18" s="11"/>
      <c r="C18" s="75"/>
      <c r="D18" s="11"/>
      <c r="E18" s="14"/>
      <c r="F18" s="64"/>
      <c r="G18" s="23"/>
      <c r="H18" s="23"/>
      <c r="I18" s="23"/>
      <c r="J18" s="23"/>
      <c r="K18" s="23"/>
      <c r="L18" s="23"/>
      <c r="M18" s="23"/>
      <c r="N18" s="65"/>
      <c r="O18" s="65"/>
      <c r="P18" s="65"/>
      <c r="Q18" s="65"/>
      <c r="R18" s="65"/>
      <c r="S18" s="65"/>
      <c r="T18" s="65"/>
      <c r="V18" s="56"/>
      <c r="W18" s="12"/>
      <c r="X18" s="12"/>
      <c r="Y18" s="27"/>
      <c r="Z18" s="27"/>
      <c r="AA18" s="27"/>
      <c r="AB18" s="27"/>
      <c r="AC18" s="27"/>
      <c r="AD18" s="27"/>
      <c r="AE18" s="27"/>
      <c r="AF18" s="5"/>
    </row>
    <row r="19" spans="1:32" x14ac:dyDescent="0.25">
      <c r="R19" s="65"/>
      <c r="U19" s="12"/>
      <c r="AE19" s="12"/>
    </row>
    <row r="20" spans="1:32" x14ac:dyDescent="0.25">
      <c r="A20" s="23" t="s">
        <v>77</v>
      </c>
      <c r="R20" s="65"/>
      <c r="T20" s="12"/>
      <c r="U20" s="12"/>
    </row>
    <row r="21" spans="1:32" ht="15.75" thickBot="1" x14ac:dyDescent="0.3">
      <c r="A21" s="25"/>
      <c r="B21" s="24"/>
      <c r="N21" s="22"/>
      <c r="O21" s="22"/>
      <c r="R21" s="65"/>
      <c r="U21" s="12"/>
    </row>
    <row r="22" spans="1:32" x14ac:dyDescent="0.25">
      <c r="B22" s="5"/>
      <c r="C22" s="12"/>
      <c r="D22" s="5"/>
      <c r="E22" s="101"/>
      <c r="F22" s="73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65"/>
      <c r="S22" s="74"/>
      <c r="T22" s="74"/>
      <c r="U22" s="74"/>
      <c r="V22" s="126" t="s">
        <v>111</v>
      </c>
      <c r="W22" s="127"/>
      <c r="X22" s="136"/>
      <c r="Y22" s="74"/>
      <c r="Z22" s="74"/>
      <c r="AA22" s="74"/>
      <c r="AB22" s="74"/>
      <c r="AC22" s="74"/>
      <c r="AD22" s="74"/>
    </row>
    <row r="23" spans="1:32" x14ac:dyDescent="0.25">
      <c r="R23" s="65"/>
      <c r="V23" s="128">
        <v>7500</v>
      </c>
      <c r="W23" s="129" t="s">
        <v>112</v>
      </c>
      <c r="AE23" s="31"/>
    </row>
    <row r="24" spans="1:32" x14ac:dyDescent="0.25">
      <c r="A24" s="79" t="s">
        <v>78</v>
      </c>
      <c r="B24" s="80">
        <v>2024</v>
      </c>
      <c r="C24" s="80">
        <v>2025</v>
      </c>
      <c r="E24" s="9" t="s">
        <v>79</v>
      </c>
      <c r="F24" s="9"/>
      <c r="G24" s="9"/>
      <c r="H24" s="9"/>
      <c r="I24" s="9"/>
      <c r="J24" s="9"/>
      <c r="K24" s="9"/>
      <c r="L24" s="9"/>
      <c r="M24" s="9"/>
      <c r="R24" s="65"/>
      <c r="U24" s="12"/>
      <c r="V24" s="130">
        <f>+V23/U8</f>
        <v>7.6793783727750426</v>
      </c>
      <c r="W24" s="134" t="s">
        <v>113</v>
      </c>
      <c r="AF24" s="31"/>
    </row>
    <row r="25" spans="1:32" x14ac:dyDescent="0.25">
      <c r="A25" s="82" t="s">
        <v>58</v>
      </c>
      <c r="B25" s="81" t="s">
        <v>80</v>
      </c>
      <c r="C25" s="81" t="s">
        <v>81</v>
      </c>
      <c r="G25" s="9"/>
      <c r="M25" s="13"/>
      <c r="N25" s="13"/>
      <c r="O25" s="13"/>
      <c r="P25" s="13"/>
      <c r="Q25" s="13"/>
      <c r="R25" s="65"/>
      <c r="S25" s="13"/>
      <c r="V25" s="130">
        <f>+V24*8</f>
        <v>61.435026982200341</v>
      </c>
      <c r="W25" s="131" t="s">
        <v>114</v>
      </c>
      <c r="AF25" s="31"/>
    </row>
    <row r="26" spans="1:32" x14ac:dyDescent="0.25">
      <c r="A26" s="82" t="s">
        <v>59</v>
      </c>
      <c r="B26" s="81" t="s">
        <v>82</v>
      </c>
      <c r="C26" s="81" t="s">
        <v>83</v>
      </c>
      <c r="N26" s="9"/>
      <c r="O26" s="9"/>
      <c r="R26" s="65"/>
      <c r="V26" s="128"/>
      <c r="W26" s="131"/>
      <c r="AF26" s="31"/>
    </row>
    <row r="27" spans="1:32" x14ac:dyDescent="0.25">
      <c r="A27" s="82" t="s">
        <v>60</v>
      </c>
      <c r="B27" s="81" t="s">
        <v>80</v>
      </c>
      <c r="C27" s="81" t="s">
        <v>81</v>
      </c>
      <c r="E27" s="58"/>
      <c r="R27" s="65"/>
      <c r="V27" s="128" t="s">
        <v>115</v>
      </c>
      <c r="W27" s="131">
        <v>64</v>
      </c>
      <c r="AF27" s="31"/>
    </row>
    <row r="28" spans="1:32" x14ac:dyDescent="0.25">
      <c r="A28" s="82" t="s">
        <v>61</v>
      </c>
      <c r="B28" s="81" t="s">
        <v>84</v>
      </c>
      <c r="C28" s="81" t="s">
        <v>83</v>
      </c>
      <c r="E28" s="58" t="s">
        <v>85</v>
      </c>
      <c r="R28" s="65"/>
      <c r="V28" s="128" t="s">
        <v>116</v>
      </c>
      <c r="W28" s="131">
        <v>64</v>
      </c>
      <c r="AF28" s="31"/>
    </row>
    <row r="29" spans="1:32" x14ac:dyDescent="0.25">
      <c r="A29" s="82" t="s">
        <v>62</v>
      </c>
      <c r="B29" s="81" t="s">
        <v>84</v>
      </c>
      <c r="C29" s="81" t="s">
        <v>83</v>
      </c>
      <c r="V29" s="128"/>
      <c r="W29" s="131"/>
      <c r="AF29" s="31"/>
    </row>
    <row r="30" spans="1:32" x14ac:dyDescent="0.25">
      <c r="A30" s="82" t="s">
        <v>63</v>
      </c>
      <c r="B30" s="81" t="s">
        <v>86</v>
      </c>
      <c r="C30" s="81">
        <v>0</v>
      </c>
      <c r="V30" s="128" t="s">
        <v>117</v>
      </c>
      <c r="W30" s="135">
        <f>8*U8</f>
        <v>7813.1324031007762</v>
      </c>
      <c r="AF30" s="31"/>
    </row>
    <row r="31" spans="1:32" ht="15.75" thickBot="1" x14ac:dyDescent="0.3">
      <c r="A31" s="82" t="s">
        <v>64</v>
      </c>
      <c r="B31" s="81" t="s">
        <v>84</v>
      </c>
      <c r="C31" s="81" t="s">
        <v>83</v>
      </c>
      <c r="E31" s="86"/>
      <c r="F31" s="84"/>
      <c r="J31" s="9"/>
      <c r="K31" s="9"/>
      <c r="L31" s="9"/>
      <c r="V31" s="132"/>
      <c r="W31" s="133"/>
      <c r="AF31" s="31"/>
    </row>
    <row r="32" spans="1:32" x14ac:dyDescent="0.25">
      <c r="A32" s="82" t="s">
        <v>65</v>
      </c>
      <c r="B32" s="81" t="s">
        <v>87</v>
      </c>
      <c r="C32" s="81" t="s">
        <v>88</v>
      </c>
      <c r="E32" s="86"/>
      <c r="F32" s="84"/>
      <c r="J32" s="9"/>
      <c r="K32" s="9"/>
      <c r="L32" s="9"/>
      <c r="AF32" s="31"/>
    </row>
    <row r="33" spans="1:32" x14ac:dyDescent="0.25">
      <c r="A33" s="82" t="s">
        <v>67</v>
      </c>
      <c r="B33" s="81" t="s">
        <v>89</v>
      </c>
      <c r="C33" s="81">
        <v>0</v>
      </c>
      <c r="D33" t="s">
        <v>90</v>
      </c>
      <c r="E33" s="86"/>
      <c r="F33" s="84"/>
      <c r="J33" s="9"/>
      <c r="K33" s="94"/>
      <c r="L33" s="9"/>
      <c r="AF33" s="31"/>
    </row>
    <row r="34" spans="1:32" x14ac:dyDescent="0.25">
      <c r="A34" s="82" t="s">
        <v>68</v>
      </c>
      <c r="B34" s="81" t="s">
        <v>84</v>
      </c>
      <c r="C34" s="81" t="s">
        <v>91</v>
      </c>
      <c r="E34" s="86"/>
      <c r="F34" s="84"/>
      <c r="J34" s="9"/>
      <c r="K34" s="9"/>
      <c r="L34" s="9"/>
      <c r="AF34" s="31"/>
    </row>
    <row r="35" spans="1:32" x14ac:dyDescent="0.25">
      <c r="A35" s="53"/>
      <c r="B35" s="86"/>
      <c r="C35" s="86"/>
      <c r="E35" s="86"/>
      <c r="F35" s="84"/>
      <c r="J35" s="9"/>
      <c r="K35" s="9"/>
      <c r="L35" s="9"/>
      <c r="AF35" s="31"/>
    </row>
    <row r="36" spans="1:32" x14ac:dyDescent="0.25">
      <c r="A36" s="53"/>
      <c r="AE36" s="31"/>
    </row>
    <row r="54" spans="1:4" x14ac:dyDescent="0.25">
      <c r="A54" t="s">
        <v>92</v>
      </c>
    </row>
    <row r="55" spans="1:4" x14ac:dyDescent="0.25">
      <c r="A55">
        <f>(215/12)*2*1-(215/12)*(20/30)*1</f>
        <v>23.888888888888893</v>
      </c>
      <c r="B55" t="s">
        <v>93</v>
      </c>
      <c r="C55" t="s">
        <v>94</v>
      </c>
      <c r="D55">
        <f>(215/12)*1*1+(215/12)*(10/30)*1</f>
        <v>23.888888888888889</v>
      </c>
    </row>
    <row r="56" spans="1:4" x14ac:dyDescent="0.25">
      <c r="A56">
        <f>(215/12)*18*1-24</f>
        <v>298.5</v>
      </c>
      <c r="B56" t="s">
        <v>95</v>
      </c>
    </row>
    <row r="57" spans="1:4" x14ac:dyDescent="0.25">
      <c r="A57" s="30"/>
    </row>
  </sheetData>
  <phoneticPr fontId="10" type="noConversion"/>
  <conditionalFormatting sqref="AK2:AK1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  <ignoredErrors>
    <ignoredError sqref="E3:E4 E7" 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AFA2B-7283-452C-8470-2EA84D0CF12B}">
  <sheetPr codeName="Tabelle4"/>
  <dimension ref="A1:T453"/>
  <sheetViews>
    <sheetView topLeftCell="H1" workbookViewId="0">
      <selection activeCell="T14" sqref="T14"/>
    </sheetView>
  </sheetViews>
  <sheetFormatPr baseColWidth="10" defaultColWidth="11.42578125" defaultRowHeight="15" x14ac:dyDescent="0.25"/>
  <cols>
    <col min="10" max="10" width="13.7109375" bestFit="1" customWidth="1"/>
    <col min="12" max="12" width="15.5703125" customWidth="1"/>
    <col min="13" max="13" width="12.42578125" bestFit="1" customWidth="1"/>
    <col min="14" max="14" width="15.28515625" customWidth="1"/>
    <col min="15" max="15" width="25.140625" bestFit="1" customWidth="1"/>
    <col min="16" max="16" width="17.42578125" customWidth="1"/>
    <col min="17" max="19" width="16.140625" bestFit="1" customWidth="1"/>
  </cols>
  <sheetData>
    <row r="1" spans="1:20" x14ac:dyDescent="0.25">
      <c r="A1" s="10"/>
    </row>
    <row r="2" spans="1:20" x14ac:dyDescent="0.25">
      <c r="I2" s="21"/>
      <c r="J2" s="29"/>
      <c r="K2" s="29"/>
      <c r="L2" s="29"/>
      <c r="M2" s="10"/>
      <c r="N2" s="10"/>
      <c r="O2" s="10"/>
    </row>
    <row r="3" spans="1:20" x14ac:dyDescent="0.25">
      <c r="M3" s="5"/>
      <c r="N3" s="5"/>
      <c r="O3" s="27"/>
      <c r="R3" s="5"/>
    </row>
    <row r="8" spans="1:20" ht="19.5" thickBot="1" x14ac:dyDescent="0.35">
      <c r="O8" s="34" t="s">
        <v>96</v>
      </c>
      <c r="P8" s="34"/>
      <c r="Q8" s="34"/>
      <c r="R8" s="34"/>
      <c r="S8" s="34"/>
    </row>
    <row r="9" spans="1:20" ht="19.5" thickBot="1" x14ac:dyDescent="0.35">
      <c r="O9" s="35"/>
      <c r="P9" s="68"/>
      <c r="Q9" s="51" t="s">
        <v>97</v>
      </c>
      <c r="R9" s="51" t="s">
        <v>98</v>
      </c>
      <c r="S9" s="36" t="s">
        <v>69</v>
      </c>
    </row>
    <row r="10" spans="1:20" ht="20.25" thickTop="1" thickBot="1" x14ac:dyDescent="0.35">
      <c r="O10" s="82" t="s">
        <v>58</v>
      </c>
      <c r="P10" s="38"/>
      <c r="Q10" s="38">
        <v>55655.839999999997</v>
      </c>
      <c r="R10" s="38">
        <v>43635.119999999995</v>
      </c>
      <c r="S10" s="37">
        <f>+P10+Q10+R10</f>
        <v>99290.959999999992</v>
      </c>
    </row>
    <row r="11" spans="1:20" ht="20.25" thickTop="1" thickBot="1" x14ac:dyDescent="0.35">
      <c r="O11" s="82" t="s">
        <v>59</v>
      </c>
      <c r="P11" s="38"/>
      <c r="Q11" s="38">
        <v>48136.69</v>
      </c>
      <c r="R11" s="38">
        <v>62445.599999999991</v>
      </c>
      <c r="S11" s="37">
        <f t="shared" ref="S11:S19" si="0">+P11+Q11+R11</f>
        <v>110582.29</v>
      </c>
    </row>
    <row r="12" spans="1:20" ht="20.25" thickTop="1" thickBot="1" x14ac:dyDescent="0.35">
      <c r="O12" s="82" t="s">
        <v>60</v>
      </c>
      <c r="P12" s="38"/>
      <c r="Q12" s="38">
        <v>60433.37</v>
      </c>
      <c r="R12" s="38">
        <v>45592.479999999996</v>
      </c>
      <c r="S12" s="37">
        <f t="shared" si="0"/>
        <v>106025.85</v>
      </c>
    </row>
    <row r="13" spans="1:20" ht="20.25" thickTop="1" thickBot="1" x14ac:dyDescent="0.35">
      <c r="O13" s="82" t="s">
        <v>61</v>
      </c>
      <c r="P13" s="38"/>
      <c r="Q13" s="38">
        <v>77747.460000000006</v>
      </c>
      <c r="R13" s="38">
        <v>52771.75</v>
      </c>
      <c r="S13" s="37">
        <f t="shared" si="0"/>
        <v>130519.21</v>
      </c>
      <c r="T13" t="s">
        <v>109</v>
      </c>
    </row>
    <row r="14" spans="1:20" ht="20.25" thickTop="1" thickBot="1" x14ac:dyDescent="0.35">
      <c r="O14" s="82" t="s">
        <v>62</v>
      </c>
      <c r="P14" s="38"/>
      <c r="Q14" s="38">
        <v>127702.13</v>
      </c>
      <c r="R14" s="38">
        <v>93723.729999999981</v>
      </c>
      <c r="S14" s="37">
        <f t="shared" si="0"/>
        <v>221425.86</v>
      </c>
      <c r="T14" s="5"/>
    </row>
    <row r="15" spans="1:20" ht="20.25" thickTop="1" thickBot="1" x14ac:dyDescent="0.35">
      <c r="M15" s="5"/>
      <c r="N15" s="5"/>
      <c r="O15" s="82" t="s">
        <v>63</v>
      </c>
      <c r="P15" s="38"/>
      <c r="Q15" s="38">
        <v>10766.44</v>
      </c>
      <c r="R15" s="38">
        <v>0</v>
      </c>
      <c r="S15" s="37">
        <f t="shared" si="0"/>
        <v>10766.44</v>
      </c>
    </row>
    <row r="16" spans="1:20" ht="20.25" thickTop="1" thickBot="1" x14ac:dyDescent="0.35">
      <c r="O16" s="82" t="s">
        <v>64</v>
      </c>
      <c r="P16" s="38"/>
      <c r="Q16" s="38">
        <v>183984.5</v>
      </c>
      <c r="R16" s="38">
        <v>130982.40000000001</v>
      </c>
      <c r="S16" s="37">
        <f t="shared" si="0"/>
        <v>314966.90000000002</v>
      </c>
    </row>
    <row r="17" spans="1:19" ht="20.25" thickTop="1" thickBot="1" x14ac:dyDescent="0.35">
      <c r="O17" s="82" t="s">
        <v>65</v>
      </c>
      <c r="P17" s="38"/>
      <c r="Q17" s="38">
        <v>49130.68</v>
      </c>
      <c r="R17" s="38">
        <v>41900.43</v>
      </c>
      <c r="S17" s="37">
        <f t="shared" si="0"/>
        <v>91031.11</v>
      </c>
    </row>
    <row r="18" spans="1:19" ht="20.25" thickTop="1" thickBot="1" x14ac:dyDescent="0.35">
      <c r="O18" s="82" t="s">
        <v>67</v>
      </c>
      <c r="P18" s="38"/>
      <c r="Q18" s="38">
        <v>24085.07</v>
      </c>
      <c r="R18" s="69">
        <v>0</v>
      </c>
      <c r="S18" s="60">
        <f t="shared" si="0"/>
        <v>24085.07</v>
      </c>
    </row>
    <row r="19" spans="1:19" ht="20.25" thickTop="1" thickBot="1" x14ac:dyDescent="0.35">
      <c r="N19" s="5"/>
      <c r="O19" s="82" t="s">
        <v>68</v>
      </c>
      <c r="P19" s="38"/>
      <c r="Q19" s="38">
        <v>65450.799999999996</v>
      </c>
      <c r="R19" s="38">
        <v>18859.86</v>
      </c>
      <c r="S19" s="60">
        <f t="shared" si="0"/>
        <v>84310.66</v>
      </c>
    </row>
    <row r="27" spans="1:19" x14ac:dyDescent="0.25">
      <c r="A27" s="10"/>
      <c r="J27" s="5"/>
      <c r="K27" s="5"/>
      <c r="L27" s="27"/>
    </row>
    <row r="29" spans="1:19" x14ac:dyDescent="0.25">
      <c r="M29" s="5"/>
      <c r="N29" s="5"/>
      <c r="O29" s="27"/>
    </row>
    <row r="42" spans="1:9" x14ac:dyDescent="0.25">
      <c r="A42" s="9"/>
    </row>
    <row r="47" spans="1:9" x14ac:dyDescent="0.25">
      <c r="I47" s="10"/>
    </row>
    <row r="56" spans="1:15" x14ac:dyDescent="0.25">
      <c r="J56" s="27"/>
      <c r="K56" s="27"/>
      <c r="L56" s="27"/>
    </row>
    <row r="57" spans="1:15" x14ac:dyDescent="0.25">
      <c r="J57" s="5"/>
      <c r="K57" s="5"/>
      <c r="L57" s="27"/>
    </row>
    <row r="58" spans="1:15" x14ac:dyDescent="0.25">
      <c r="A58" s="10"/>
    </row>
    <row r="61" spans="1:15" x14ac:dyDescent="0.25">
      <c r="M61" s="5"/>
      <c r="N61" s="5"/>
      <c r="O61" s="27"/>
    </row>
    <row r="63" spans="1:15" x14ac:dyDescent="0.25">
      <c r="I63" s="10"/>
    </row>
    <row r="71" spans="1:15" x14ac:dyDescent="0.25">
      <c r="L71" s="27"/>
    </row>
    <row r="74" spans="1:15" x14ac:dyDescent="0.25">
      <c r="A74" s="10"/>
    </row>
    <row r="76" spans="1:15" x14ac:dyDescent="0.25">
      <c r="M76" s="5"/>
      <c r="N76" s="5"/>
      <c r="O76" s="27"/>
    </row>
    <row r="84" spans="1:13" x14ac:dyDescent="0.25">
      <c r="J84" s="5"/>
      <c r="K84" s="5"/>
      <c r="L84" s="27"/>
    </row>
    <row r="85" spans="1:13" x14ac:dyDescent="0.25">
      <c r="L85" s="13"/>
      <c r="M85" s="13"/>
    </row>
    <row r="86" spans="1:13" x14ac:dyDescent="0.25">
      <c r="I86" s="14"/>
    </row>
    <row r="90" spans="1:13" x14ac:dyDescent="0.25">
      <c r="A90" s="10"/>
    </row>
    <row r="97" spans="1:15" x14ac:dyDescent="0.25">
      <c r="A97" s="10"/>
    </row>
    <row r="99" spans="1:15" x14ac:dyDescent="0.25">
      <c r="M99" s="5"/>
      <c r="N99" s="5"/>
      <c r="O99" s="27"/>
    </row>
    <row r="104" spans="1:15" x14ac:dyDescent="0.25">
      <c r="J104" s="10"/>
    </row>
    <row r="112" spans="1:15" x14ac:dyDescent="0.25">
      <c r="A112" s="10"/>
    </row>
    <row r="114" spans="1:15" x14ac:dyDescent="0.25">
      <c r="M114" s="5"/>
      <c r="N114" s="5"/>
      <c r="O114" s="27"/>
    </row>
    <row r="128" spans="1:15" x14ac:dyDescent="0.25">
      <c r="A128" s="10"/>
    </row>
    <row r="129" spans="9:15" x14ac:dyDescent="0.25">
      <c r="M129" s="5"/>
      <c r="N129" s="5"/>
      <c r="O129" s="27"/>
    </row>
    <row r="135" spans="9:15" x14ac:dyDescent="0.25">
      <c r="I135" s="10"/>
    </row>
    <row r="151" spans="9:9" x14ac:dyDescent="0.25">
      <c r="I151" s="10"/>
    </row>
    <row r="164" spans="9:9" x14ac:dyDescent="0.25">
      <c r="I164" s="10"/>
    </row>
    <row r="195" spans="9:10" x14ac:dyDescent="0.25">
      <c r="I195" s="10"/>
      <c r="J195" s="10"/>
    </row>
    <row r="211" spans="9:10" x14ac:dyDescent="0.25">
      <c r="I211" s="10"/>
      <c r="J211" s="10"/>
    </row>
    <row r="236" spans="10:10" x14ac:dyDescent="0.25">
      <c r="J236" s="10"/>
    </row>
    <row r="237" spans="10:10" x14ac:dyDescent="0.25">
      <c r="J237" s="9"/>
    </row>
    <row r="252" spans="10:10" x14ac:dyDescent="0.25">
      <c r="J252" s="10"/>
    </row>
    <row r="253" spans="10:10" x14ac:dyDescent="0.25">
      <c r="J253" s="9"/>
    </row>
    <row r="285" spans="9:10" x14ac:dyDescent="0.25">
      <c r="I285" s="10"/>
      <c r="J285" s="10"/>
    </row>
    <row r="346" spans="7:7" x14ac:dyDescent="0.25">
      <c r="G346" s="5"/>
    </row>
    <row r="358" spans="7:7" x14ac:dyDescent="0.25">
      <c r="G358" s="5"/>
    </row>
    <row r="370" spans="7:7" x14ac:dyDescent="0.25">
      <c r="G370" s="5"/>
    </row>
    <row r="399" spans="7:7" x14ac:dyDescent="0.25">
      <c r="G399" s="5"/>
    </row>
    <row r="410" spans="9:9" x14ac:dyDescent="0.25">
      <c r="I410" s="10"/>
    </row>
    <row r="422" spans="7:7" x14ac:dyDescent="0.25">
      <c r="G422" s="5"/>
    </row>
    <row r="433" spans="7:8" x14ac:dyDescent="0.25">
      <c r="G433" s="5"/>
    </row>
    <row r="444" spans="7:8" x14ac:dyDescent="0.25">
      <c r="H444" s="5"/>
    </row>
    <row r="453" spans="8:8" x14ac:dyDescent="0.25">
      <c r="H453" s="5"/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1F958-05D3-482A-8C56-79F0D8F6E4FA}">
  <dimension ref="A121:D121"/>
  <sheetViews>
    <sheetView tabSelected="1" topLeftCell="A58" workbookViewId="0">
      <selection activeCell="K33" sqref="K33"/>
    </sheetView>
  </sheetViews>
  <sheetFormatPr baseColWidth="10" defaultColWidth="11.42578125" defaultRowHeight="15" x14ac:dyDescent="0.25"/>
  <sheetData>
    <row r="121" spans="1:4" x14ac:dyDescent="0.25">
      <c r="A121" s="137" t="s">
        <v>120</v>
      </c>
      <c r="B121" s="137"/>
      <c r="C121" s="137"/>
      <c r="D121" s="137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7F5A4-02EF-4699-B18A-EBA0129C4586}">
  <dimension ref="A1:D15"/>
  <sheetViews>
    <sheetView workbookViewId="0">
      <selection activeCell="A15" sqref="A15"/>
    </sheetView>
  </sheetViews>
  <sheetFormatPr baseColWidth="10" defaultColWidth="11.42578125" defaultRowHeight="15" x14ac:dyDescent="0.25"/>
  <cols>
    <col min="1" max="1" width="37.140625" bestFit="1" customWidth="1"/>
    <col min="2" max="2" width="18.28515625" customWidth="1"/>
    <col min="3" max="4" width="13.140625" bestFit="1" customWidth="1"/>
  </cols>
  <sheetData>
    <row r="1" spans="1:4" x14ac:dyDescent="0.25">
      <c r="A1" s="138" t="s">
        <v>99</v>
      </c>
      <c r="B1" s="139"/>
      <c r="C1" s="139"/>
      <c r="D1" s="139"/>
    </row>
    <row r="2" spans="1:4" x14ac:dyDescent="0.25">
      <c r="A2" s="81"/>
      <c r="B2" s="109" t="s">
        <v>100</v>
      </c>
      <c r="C2" s="109" t="s">
        <v>3</v>
      </c>
      <c r="D2" s="110" t="s">
        <v>101</v>
      </c>
    </row>
    <row r="3" spans="1:4" x14ac:dyDescent="0.25">
      <c r="A3" s="81" t="s">
        <v>102</v>
      </c>
      <c r="B3" s="111">
        <v>92185.95</v>
      </c>
      <c r="C3" s="111">
        <f>'PK-Berechnung'!V12</f>
        <v>146790.46388666017</v>
      </c>
      <c r="D3" s="111">
        <f>SUM(B3:C3)</f>
        <v>238976.41388666019</v>
      </c>
    </row>
    <row r="4" spans="1:4" x14ac:dyDescent="0.25">
      <c r="A4" s="81" t="s">
        <v>103</v>
      </c>
      <c r="B4" s="111">
        <v>4329.12</v>
      </c>
      <c r="C4" s="111">
        <v>2213.2800000000002</v>
      </c>
      <c r="D4" s="111">
        <f t="shared" ref="D4:D6" si="0">SUM(B4:C4)</f>
        <v>6542.4</v>
      </c>
    </row>
    <row r="5" spans="1:4" x14ac:dyDescent="0.25">
      <c r="A5" s="112" t="s">
        <v>104</v>
      </c>
      <c r="B5" s="113">
        <v>689.64</v>
      </c>
      <c r="C5" s="120">
        <v>3752.52</v>
      </c>
      <c r="D5" s="111">
        <f t="shared" si="0"/>
        <v>4442.16</v>
      </c>
    </row>
    <row r="6" spans="1:4" x14ac:dyDescent="0.25">
      <c r="A6" s="81" t="s">
        <v>105</v>
      </c>
      <c r="B6" s="111">
        <f>(B3+B4+B5)*0.25</f>
        <v>24301.177499999998</v>
      </c>
      <c r="C6" s="111">
        <f>(C3+C4+C5)*0.25</f>
        <v>38189.065971665041</v>
      </c>
      <c r="D6" s="111">
        <f t="shared" si="0"/>
        <v>62490.243471665039</v>
      </c>
    </row>
    <row r="7" spans="1:4" x14ac:dyDescent="0.25">
      <c r="A7" s="114" t="s">
        <v>106</v>
      </c>
      <c r="B7" s="115">
        <f>SUM(B3:B6)</f>
        <v>121505.88749999998</v>
      </c>
      <c r="C7" s="115">
        <f>SUM(C3:C6)</f>
        <v>190945.32985832519</v>
      </c>
      <c r="D7" s="115">
        <f>SUM(D3:D6)</f>
        <v>312451.2173583252</v>
      </c>
    </row>
    <row r="8" spans="1:4" x14ac:dyDescent="0.25">
      <c r="A8" s="116" t="s">
        <v>107</v>
      </c>
      <c r="B8" s="111"/>
      <c r="C8" s="111"/>
      <c r="D8" s="117">
        <v>302524.95</v>
      </c>
    </row>
    <row r="9" spans="1:4" x14ac:dyDescent="0.25">
      <c r="A9" s="118" t="s">
        <v>108</v>
      </c>
      <c r="B9" s="111"/>
      <c r="C9" s="111"/>
      <c r="D9" s="119">
        <f>D8-D7</f>
        <v>-9926.267358325189</v>
      </c>
    </row>
    <row r="13" spans="1:4" x14ac:dyDescent="0.25">
      <c r="B13" s="5"/>
    </row>
    <row r="14" spans="1:4" x14ac:dyDescent="0.25">
      <c r="B14" s="5"/>
    </row>
    <row r="15" spans="1:4" x14ac:dyDescent="0.25">
      <c r="A15" s="9" t="s">
        <v>118</v>
      </c>
    </row>
  </sheetData>
  <mergeCells count="1">
    <mergeCell ref="A1:D1"/>
  </mergeCells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8E7DA573AFA34BA717F037D1B51E93" ma:contentTypeVersion="17" ma:contentTypeDescription="Create a new document." ma:contentTypeScope="" ma:versionID="891d886c4f18fbdc14261d5cf6e495ce">
  <xsd:schema xmlns:xsd="http://www.w3.org/2001/XMLSchema" xmlns:xs="http://www.w3.org/2001/XMLSchema" xmlns:p="http://schemas.microsoft.com/office/2006/metadata/properties" xmlns:ns2="42797759-7cae-4cc1-8302-5817df3fb837" xmlns:ns3="877dcf6a-09ea-486f-b1cf-d86cf0e5030b" targetNamespace="http://schemas.microsoft.com/office/2006/metadata/properties" ma:root="true" ma:fieldsID="8645cc9fb9825ebed5d231aea3af991f" ns2:_="" ns3:_="">
    <xsd:import namespace="42797759-7cae-4cc1-8302-5817df3fb837"/>
    <xsd:import namespace="877dcf6a-09ea-486f-b1cf-d86cf0e503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97759-7cae-4cc1-8302-5817df3fb8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13a2689-bec8-4d0a-86fb-7d0ced5a0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dcf6a-09ea-486f-b1cf-d86cf0e5030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859d8ca-5d3b-4dcb-b392-3cc349620d2a}" ma:internalName="TaxCatchAll" ma:showField="CatchAllData" ma:web="877dcf6a-09ea-486f-b1cf-d86cf0e503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7dcf6a-09ea-486f-b1cf-d86cf0e5030b" xsi:nil="true"/>
    <lcf76f155ced4ddcb4097134ff3c332f xmlns="42797759-7cae-4cc1-8302-5817df3fb837">
      <Terms xmlns="http://schemas.microsoft.com/office/infopath/2007/PartnerControls"/>
    </lcf76f155ced4ddcb4097134ff3c332f>
    <SharedWithUsers xmlns="877dcf6a-09ea-486f-b1cf-d86cf0e5030b">
      <UserInfo>
        <DisplayName>Tracey French</DisplayName>
        <AccountId>11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B1CF527-B7E1-4625-A1D2-B4E6E01754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73DBB0-BD4D-40A3-8071-952DAA75DE55}"/>
</file>

<file path=customXml/itemProps3.xml><?xml version="1.0" encoding="utf-8"?>
<ds:datastoreItem xmlns:ds="http://schemas.openxmlformats.org/officeDocument/2006/customXml" ds:itemID="{ECB72B58-6C15-4162-8DEA-D3988B8A27BA}">
  <ds:schemaRefs>
    <ds:schemaRef ds:uri="http://schemas.microsoft.com/office/2006/metadata/properties"/>
    <ds:schemaRef ds:uri="http://schemas.microsoft.com/office/infopath/2007/PartnerControls"/>
    <ds:schemaRef ds:uri="877dcf6a-09ea-486f-b1cf-d86cf0e5030b"/>
    <ds:schemaRef ds:uri="42797759-7cae-4cc1-8302-5817df3fb83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Tage_PM_pro_WP</vt:lpstr>
      <vt:lpstr>PK-Berechnung</vt:lpstr>
      <vt:lpstr>Gehälter</vt:lpstr>
      <vt:lpstr>Stundenzettel</vt:lpstr>
      <vt:lpstr>GuV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Stela Djurovic</dc:creator>
  <cp:keywords/>
  <dc:description/>
  <cp:lastModifiedBy>Stela Djurovic</cp:lastModifiedBy>
  <cp:revision/>
  <dcterms:created xsi:type="dcterms:W3CDTF">2023-09-12T06:32:40Z</dcterms:created>
  <dcterms:modified xsi:type="dcterms:W3CDTF">2026-01-05T10:46:42Z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0x0101003E8E7DA573AFA34BA717F037D1B51E93</vt:lpwstr>
  </property>
  <property fmtid="{D5CDD505-2E9C-101B-9397-08002B2CF9AE}" pid="3" name="MediaServiceImageTags">
    <vt:lpwstr/>
  </property>
</Properties>
</file>